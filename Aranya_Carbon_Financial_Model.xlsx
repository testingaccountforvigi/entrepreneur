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vigilant/Documents/Sem4Sprint2_Exams/Entrepreneurship/"/>
    </mc:Choice>
  </mc:AlternateContent>
  <xr:revisionPtr revIDLastSave="0" documentId="13_ncr:1_{144C5034-824F-5848-AD7F-5FB174BD2528}" xr6:coauthVersionLast="47" xr6:coauthVersionMax="47" xr10:uidLastSave="{00000000-0000-0000-0000-000000000000}"/>
  <bookViews>
    <workbookView xWindow="0" yWindow="780" windowWidth="34200" windowHeight="21460" tabRatio="500" xr2:uid="{00000000-000D-0000-FFFF-FFFF00000000}"/>
  </bookViews>
  <sheets>
    <sheet name="Executive Summary" sheetId="1" r:id="rId1"/>
    <sheet name="Problem Economics" sheetId="2" r:id="rId2"/>
    <sheet name="Efficiency Model" sheetId="3" r:id="rId3"/>
    <sheet name="Credit Pricing" sheetId="4" r:id="rId4"/>
    <sheet name="Unit Economics" sheetId="5" r:id="rId5"/>
    <sheet name="Revenue Streams" sheetId="6" r:id="rId6"/>
    <sheet name="TAM SAM SOM" sheetId="7" r:id="rId7"/>
    <sheet name="Year 1 Projection" sheetId="8" r:id="rId8"/>
    <sheet name="Year 3 Projection" sheetId="9" r:id="rId9"/>
    <sheet name="Year 5 Projection" sheetId="10" r:id="rId10"/>
    <sheet name="Scenario Analysis" sheetId="11" r:id="rId11"/>
    <sheet name="Sensitivity Analysis" sheetId="12" r:id="rId12"/>
    <sheet name="Competitor Economics" sheetId="13" r:id="rId13"/>
    <sheet name="Risk Analysis" sheetId="14" r:id="rId14"/>
    <sheet name="Sources" sheetId="15" r:id="rId15"/>
  </sheets>
  <definedNames>
    <definedName name="_xlnm.Print_Titles" localSheetId="12">'Competitor Economics'!$1:$3</definedName>
    <definedName name="_xlnm.Print_Titles" localSheetId="3">'Credit Pricing'!$1:$3</definedName>
    <definedName name="_xlnm.Print_Titles" localSheetId="2">'Efficiency Model'!$1:$3</definedName>
    <definedName name="_xlnm.Print_Titles" localSheetId="0">'Executive Summary'!$1:$3</definedName>
    <definedName name="_xlnm.Print_Titles" localSheetId="1">'Problem Economics'!$1:$3</definedName>
    <definedName name="_xlnm.Print_Titles" localSheetId="5">'Revenue Streams'!$1:$3</definedName>
    <definedName name="_xlnm.Print_Titles" localSheetId="13">'Risk Analysis'!$1:$3</definedName>
    <definedName name="_xlnm.Print_Titles" localSheetId="10">'Scenario Analysis'!$1:$3</definedName>
    <definedName name="_xlnm.Print_Titles" localSheetId="11">'Sensitivity Analysis'!$1:$3</definedName>
    <definedName name="_xlnm.Print_Titles" localSheetId="14">Sources!$1:$3</definedName>
    <definedName name="_xlnm.Print_Titles" localSheetId="6">'TAM SAM SOM'!$1:$3</definedName>
    <definedName name="_xlnm.Print_Titles" localSheetId="4">'Unit Economics'!$1:$3</definedName>
    <definedName name="_xlnm.Print_Titles" localSheetId="7">'Year 1 Projection'!$1:$3</definedName>
    <definedName name="_xlnm.Print_Titles" localSheetId="8">'Year 3 Projection'!$1:$3</definedName>
    <definedName name="_xlnm.Print_Titles" localSheetId="9">'Year 5 Projection'!$1:$3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14" l="1"/>
  <c r="E12" i="14"/>
  <c r="F11" i="14"/>
  <c r="E11" i="14"/>
  <c r="E10" i="14"/>
  <c r="F10" i="14" s="1"/>
  <c r="E9" i="14"/>
  <c r="F9" i="14" s="1"/>
  <c r="F8" i="14"/>
  <c r="E8" i="14"/>
  <c r="F7" i="14"/>
  <c r="E7" i="14"/>
  <c r="E6" i="14"/>
  <c r="F6" i="14" s="1"/>
  <c r="E5" i="14"/>
  <c r="F5" i="14" s="1"/>
  <c r="C8" i="12"/>
  <c r="D27" i="11"/>
  <c r="D26" i="11"/>
  <c r="E25" i="11"/>
  <c r="E27" i="11" s="1"/>
  <c r="D25" i="11"/>
  <c r="C25" i="11"/>
  <c r="C27" i="11" s="1"/>
  <c r="E24" i="11"/>
  <c r="E26" i="11" s="1"/>
  <c r="D24" i="11"/>
  <c r="C24" i="11"/>
  <c r="C26" i="11" s="1"/>
  <c r="E14" i="11"/>
  <c r="D14" i="11"/>
  <c r="C14" i="11"/>
  <c r="D13" i="11"/>
  <c r="D16" i="11" s="1"/>
  <c r="D18" i="11" s="1"/>
  <c r="E12" i="11"/>
  <c r="E13" i="11" s="1"/>
  <c r="E16" i="11" s="1"/>
  <c r="E18" i="11" s="1"/>
  <c r="D12" i="11"/>
  <c r="C12" i="11"/>
  <c r="C13" i="11" s="1"/>
  <c r="C16" i="11" s="1"/>
  <c r="C18" i="11" s="1"/>
  <c r="E11" i="11"/>
  <c r="D11" i="11"/>
  <c r="C11" i="11"/>
  <c r="G23" i="10"/>
  <c r="F23" i="10"/>
  <c r="E23" i="10"/>
  <c r="D23" i="10"/>
  <c r="C23" i="10"/>
  <c r="D15" i="10"/>
  <c r="D25" i="10" s="1"/>
  <c r="C15" i="10"/>
  <c r="C25" i="10" s="1"/>
  <c r="G12" i="10"/>
  <c r="F12" i="10"/>
  <c r="E12" i="10"/>
  <c r="D12" i="10"/>
  <c r="C12" i="10"/>
  <c r="G11" i="10"/>
  <c r="G15" i="10" s="1"/>
  <c r="G25" i="10" s="1"/>
  <c r="F11" i="10"/>
  <c r="F15" i="10" s="1"/>
  <c r="F25" i="10" s="1"/>
  <c r="E11" i="10"/>
  <c r="E15" i="10" s="1"/>
  <c r="E25" i="10" s="1"/>
  <c r="D11" i="10"/>
  <c r="C11" i="10"/>
  <c r="G23" i="9"/>
  <c r="E23" i="9"/>
  <c r="D23" i="9"/>
  <c r="F23" i="9" s="1"/>
  <c r="C23" i="9"/>
  <c r="D15" i="9"/>
  <c r="D25" i="9" s="1"/>
  <c r="E12" i="9"/>
  <c r="E15" i="9" s="1"/>
  <c r="D12" i="9"/>
  <c r="C12" i="9"/>
  <c r="E11" i="9"/>
  <c r="D11" i="9"/>
  <c r="C11" i="9"/>
  <c r="C15" i="9" s="1"/>
  <c r="C25" i="9" s="1"/>
  <c r="N20" i="8"/>
  <c r="M20" i="8"/>
  <c r="L20" i="8"/>
  <c r="K20" i="8"/>
  <c r="J20" i="8"/>
  <c r="I20" i="8"/>
  <c r="H20" i="8"/>
  <c r="G20" i="8"/>
  <c r="O20" i="8" s="1"/>
  <c r="F20" i="8"/>
  <c r="E20" i="8"/>
  <c r="D20" i="8"/>
  <c r="C20" i="8"/>
  <c r="O19" i="8"/>
  <c r="O18" i="8"/>
  <c r="O17" i="8"/>
  <c r="O16" i="8"/>
  <c r="O15" i="8"/>
  <c r="K12" i="8"/>
  <c r="K21" i="8" s="1"/>
  <c r="K22" i="8" s="1"/>
  <c r="I12" i="8"/>
  <c r="I21" i="8" s="1"/>
  <c r="I22" i="8" s="1"/>
  <c r="C12" i="8"/>
  <c r="C21" i="8" s="1"/>
  <c r="N11" i="8"/>
  <c r="M11" i="8"/>
  <c r="L11" i="8"/>
  <c r="K11" i="8"/>
  <c r="J11" i="8"/>
  <c r="I11" i="8"/>
  <c r="H11" i="8"/>
  <c r="G11" i="8"/>
  <c r="F11" i="8"/>
  <c r="E11" i="8"/>
  <c r="D11" i="8"/>
  <c r="C11" i="8"/>
  <c r="O11" i="8" s="1"/>
  <c r="N10" i="8"/>
  <c r="N12" i="8" s="1"/>
  <c r="N21" i="8" s="1"/>
  <c r="N22" i="8" s="1"/>
  <c r="M10" i="8"/>
  <c r="L10" i="8"/>
  <c r="K10" i="8"/>
  <c r="J10" i="8"/>
  <c r="I10" i="8"/>
  <c r="H10" i="8"/>
  <c r="G10" i="8"/>
  <c r="F10" i="8"/>
  <c r="F12" i="8" s="1"/>
  <c r="F21" i="8" s="1"/>
  <c r="F22" i="8" s="1"/>
  <c r="E10" i="8"/>
  <c r="D10" i="8"/>
  <c r="C10" i="8"/>
  <c r="O10" i="8" s="1"/>
  <c r="N9" i="8"/>
  <c r="M9" i="8"/>
  <c r="L9" i="8"/>
  <c r="K9" i="8"/>
  <c r="J9" i="8"/>
  <c r="I9" i="8"/>
  <c r="H9" i="8"/>
  <c r="G9" i="8"/>
  <c r="F9" i="8"/>
  <c r="E9" i="8"/>
  <c r="D9" i="8"/>
  <c r="C9" i="8"/>
  <c r="O9" i="8" s="1"/>
  <c r="N8" i="8"/>
  <c r="M8" i="8"/>
  <c r="M12" i="8" s="1"/>
  <c r="M21" i="8" s="1"/>
  <c r="M22" i="8" s="1"/>
  <c r="L8" i="8"/>
  <c r="L12" i="8" s="1"/>
  <c r="L21" i="8" s="1"/>
  <c r="L22" i="8" s="1"/>
  <c r="K8" i="8"/>
  <c r="J8" i="8"/>
  <c r="J12" i="8" s="1"/>
  <c r="J21" i="8" s="1"/>
  <c r="J22" i="8" s="1"/>
  <c r="I8" i="8"/>
  <c r="H8" i="8"/>
  <c r="H12" i="8" s="1"/>
  <c r="H21" i="8" s="1"/>
  <c r="H22" i="8" s="1"/>
  <c r="G8" i="8"/>
  <c r="O8" i="8" s="1"/>
  <c r="C19" i="1" s="1"/>
  <c r="F8" i="8"/>
  <c r="E8" i="8"/>
  <c r="E12" i="8" s="1"/>
  <c r="E21" i="8" s="1"/>
  <c r="E22" i="8" s="1"/>
  <c r="D8" i="8"/>
  <c r="D12" i="8" s="1"/>
  <c r="D21" i="8" s="1"/>
  <c r="D22" i="8" s="1"/>
  <c r="C8" i="8"/>
  <c r="O6" i="8"/>
  <c r="O5" i="8"/>
  <c r="O4" i="8"/>
  <c r="C27" i="7"/>
  <c r="C25" i="7"/>
  <c r="C26" i="7" s="1"/>
  <c r="C18" i="7"/>
  <c r="C7" i="7"/>
  <c r="C13" i="7" s="1"/>
  <c r="C14" i="7" s="1"/>
  <c r="C31" i="6"/>
  <c r="C27" i="6"/>
  <c r="C21" i="6"/>
  <c r="C15" i="6"/>
  <c r="C9" i="6"/>
  <c r="C16" i="5"/>
  <c r="C17" i="5" s="1"/>
  <c r="C15" i="5"/>
  <c r="C11" i="5"/>
  <c r="C9" i="5"/>
  <c r="C7" i="5"/>
  <c r="C10" i="4"/>
  <c r="C12" i="4" s="1"/>
  <c r="E8" i="4"/>
  <c r="E10" i="4" s="1"/>
  <c r="D8" i="4"/>
  <c r="D10" i="4" s="1"/>
  <c r="C8" i="4"/>
  <c r="E5" i="4"/>
  <c r="D5" i="4"/>
  <c r="C5" i="4"/>
  <c r="E13" i="3"/>
  <c r="D13" i="3"/>
  <c r="C13" i="3"/>
  <c r="C16" i="3" s="1"/>
  <c r="E12" i="3"/>
  <c r="D12" i="3"/>
  <c r="C12" i="3"/>
  <c r="E11" i="3" s="1"/>
  <c r="E10" i="3"/>
  <c r="E9" i="3"/>
  <c r="E8" i="3"/>
  <c r="E7" i="3"/>
  <c r="E6" i="3"/>
  <c r="E5" i="3"/>
  <c r="E4" i="3"/>
  <c r="C15" i="2"/>
  <c r="D15" i="2" s="1"/>
  <c r="D14" i="2"/>
  <c r="C14" i="2"/>
  <c r="D13" i="2"/>
  <c r="D12" i="2"/>
  <c r="D11" i="2"/>
  <c r="D10" i="2"/>
  <c r="D9" i="2"/>
  <c r="D8" i="2"/>
  <c r="D7" i="2"/>
  <c r="D6" i="2"/>
  <c r="C17" i="1"/>
  <c r="E25" i="9" l="1"/>
  <c r="G15" i="9"/>
  <c r="C22" i="8"/>
  <c r="C19" i="11"/>
  <c r="C20" i="11"/>
  <c r="C27" i="9"/>
  <c r="C26" i="9"/>
  <c r="C26" i="10"/>
  <c r="C27" i="10"/>
  <c r="C28" i="10" s="1"/>
  <c r="D27" i="9"/>
  <c r="D26" i="9"/>
  <c r="F25" i="9"/>
  <c r="F26" i="10"/>
  <c r="F27" i="10"/>
  <c r="F28" i="10" s="1"/>
  <c r="D26" i="10"/>
  <c r="D27" i="10"/>
  <c r="D28" i="10" s="1"/>
  <c r="F13" i="14"/>
  <c r="D12" i="4"/>
  <c r="C21" i="1" s="1"/>
  <c r="D11" i="4"/>
  <c r="D14" i="4" s="1"/>
  <c r="E19" i="11"/>
  <c r="E20" i="11"/>
  <c r="E26" i="10"/>
  <c r="E27" i="10"/>
  <c r="E28" i="10" s="1"/>
  <c r="C23" i="5"/>
  <c r="D23" i="5" s="1"/>
  <c r="D17" i="5"/>
  <c r="G27" i="10"/>
  <c r="G28" i="10" s="1"/>
  <c r="G26" i="10"/>
  <c r="E11" i="4"/>
  <c r="E14" i="4" s="1"/>
  <c r="E12" i="4"/>
  <c r="D19" i="11"/>
  <c r="D20" i="11"/>
  <c r="D16" i="5"/>
  <c r="C11" i="4"/>
  <c r="C14" i="4" s="1"/>
  <c r="D18" i="5"/>
  <c r="G12" i="8"/>
  <c r="G21" i="8" s="1"/>
  <c r="G22" i="8" s="1"/>
  <c r="O12" i="8"/>
  <c r="C18" i="1" s="1"/>
  <c r="D19" i="5"/>
  <c r="D20" i="5"/>
  <c r="D21" i="5"/>
  <c r="C22" i="5"/>
  <c r="D22" i="5" s="1"/>
  <c r="C8" i="7"/>
  <c r="F15" i="9"/>
  <c r="O21" i="8" l="1"/>
  <c r="F27" i="9"/>
  <c r="O22" i="8"/>
  <c r="C20" i="1" s="1"/>
  <c r="E26" i="9"/>
  <c r="G25" i="9"/>
  <c r="E27" i="9"/>
  <c r="G27" i="9" s="1"/>
</calcChain>
</file>

<file path=xl/sharedStrings.xml><?xml version="1.0" encoding="utf-8"?>
<sst xmlns="http://schemas.openxmlformats.org/spreadsheetml/2006/main" count="789" uniqueCount="592">
  <si>
    <t>ARANYA CARBON — FINANCIAL MODEL</t>
  </si>
  <si>
    <t>Community Forest Carbon Credit Origination Platform — India</t>
  </si>
  <si>
    <t>🔵 Blue = Input/Assumption    ⬛ Black = Formula    🟢 Green = Cross-sheet ref    🟡 Yellow background = Key assumption to validate</t>
  </si>
  <si>
    <t>COMPANY OVERVIEW</t>
  </si>
  <si>
    <t>Company Name</t>
  </si>
  <si>
    <t>Aranya Carbon</t>
  </si>
  <si>
    <t>Model Prepared</t>
  </si>
  <si>
    <t>Stage</t>
  </si>
  <si>
    <t>Concept / MVP</t>
  </si>
  <si>
    <t>Sector</t>
  </si>
  <si>
    <t>Climate Tech — Carbon Markets</t>
  </si>
  <si>
    <t>Geography</t>
  </si>
  <si>
    <t>India (Expand to SE Asia by Y3)</t>
  </si>
  <si>
    <t>Currency</t>
  </si>
  <si>
    <t>INR primary, USD secondary (1 USD = 83 INR — Assumption)</t>
  </si>
  <si>
    <t>Exchange Rate</t>
  </si>
  <si>
    <t>83</t>
  </si>
  <si>
    <t>KEY METRICS — YEAR 1 / YEAR 3 / YEAR 5 (REALISTIC SCENARIO)</t>
  </si>
  <si>
    <t>Metric</t>
  </si>
  <si>
    <t>Year 1</t>
  </si>
  <si>
    <t>Year 3</t>
  </si>
  <si>
    <t>Year 5</t>
  </si>
  <si>
    <t>Unit</t>
  </si>
  <si>
    <t>Projects Onboarded</t>
  </si>
  <si>
    <t>Projects</t>
  </si>
  <si>
    <t>Credits Generated (annual)</t>
  </si>
  <si>
    <t>Formula</t>
  </si>
  <si>
    <t>tCO₂e</t>
  </si>
  <si>
    <t>Gross Revenue</t>
  </si>
  <si>
    <t>See Y3</t>
  </si>
  <si>
    <t>See Y5</t>
  </si>
  <si>
    <t>INR</t>
  </si>
  <si>
    <t>Platform Commission Revenue</t>
  </si>
  <si>
    <t>Net Profit / (Loss)</t>
  </si>
  <si>
    <t>Community Payout</t>
  </si>
  <si>
    <t>REVENUE SUMMARY — REALISTIC SCENARIO (INR Lakhs)</t>
  </si>
  <si>
    <t>Revenue Stream</t>
  </si>
  <si>
    <t>Notes</t>
  </si>
  <si>
    <t>Credit Sale Commission (18%)</t>
  </si>
  <si>
    <t>12–15L</t>
  </si>
  <si>
    <t>1.2–1.5Cr</t>
  </si>
  <si>
    <t>4–5Cr</t>
  </si>
  <si>
    <t>Primary revenue — see Revenue Streams sheet</t>
  </si>
  <si>
    <t>Monitoring Subscriptions</t>
  </si>
  <si>
    <t>3–5L</t>
  </si>
  <si>
    <t>25–40L</t>
  </si>
  <si>
    <t>80–100L</t>
  </si>
  <si>
    <t>Annual per-project fee</t>
  </si>
  <si>
    <t>NGO SaaS Subscriptions</t>
  </si>
  <si>
    <t>2–3L</t>
  </si>
  <si>
    <t>15–25L</t>
  </si>
  <si>
    <t>50–70L</t>
  </si>
  <si>
    <t>Monthly platform access</t>
  </si>
  <si>
    <t>Enterprise Buyer Subscriptions</t>
  </si>
  <si>
    <t>1–2L</t>
  </si>
  <si>
    <t>10–15L</t>
  </si>
  <si>
    <t>35–50L</t>
  </si>
  <si>
    <t>Priority access fee</t>
  </si>
  <si>
    <t>TOTAL REVENUE</t>
  </si>
  <si>
    <t>~18–25L</t>
  </si>
  <si>
    <t>~1.5–2Cr</t>
  </si>
  <si>
    <t>~5.5–7Cr</t>
  </si>
  <si>
    <t>See detailed projections</t>
  </si>
  <si>
    <t>PROBLEM ECONOMICS — Current Carbon Credit Project Cost (Community Forest, India)</t>
  </si>
  <si>
    <t>This sheet quantifies the current cost and time barriers facing gram panchayats attempting to originate carbon credits. All figures are industry benchmarks from published sources or clearly labelled as Assumptions.</t>
  </si>
  <si>
    <t>USD/INR Exchange Rate (Assumption):</t>
  </si>
  <si>
    <t>← Change this to update all USD figures</t>
  </si>
  <si>
    <t>Activity / Cost Item</t>
  </si>
  <si>
    <t>Cost (INR)</t>
  </si>
  <si>
    <t>Cost (USD)</t>
  </si>
  <si>
    <t>Timeline</t>
  </si>
  <si>
    <t>Type</t>
  </si>
  <si>
    <t>Source</t>
  </si>
  <si>
    <t>Forest Boundary Survey &amp; GPS Mapping</t>
  </si>
  <si>
    <t>2–4 weeks</t>
  </si>
  <si>
    <t>Assumption</t>
  </si>
  <si>
    <t>Assumption: ₹4–5L; ISFR field survey cost data. Source: [S1]</t>
  </si>
  <si>
    <t>Tree Inventory / Forest Carbon Assessment</t>
  </si>
  <si>
    <t>4–8 weeks</t>
  </si>
  <si>
    <t>Assumption: ₹5–6L; range from carbon developer interviews. Source: [S2]</t>
  </si>
  <si>
    <t>Carbon Consultant / Project Developer Fee</t>
  </si>
  <si>
    <t>3–6 months</t>
  </si>
  <si>
    <t>Sourced</t>
  </si>
  <si>
    <t>South Pole / Verra project dev cost $40K avg. Source: [S3]</t>
  </si>
  <si>
    <t>Third-Party Validation (Verra-accredited auditor)</t>
  </si>
  <si>
    <t>2–4 months</t>
  </si>
  <si>
    <t>DNV GL / Bureau Veritas avg $30K. Source: [S4]</t>
  </si>
  <si>
    <t>Verra / Gold Standard Registration Fees</t>
  </si>
  <si>
    <t>1–3 months</t>
  </si>
  <si>
    <t>Verra schedule of fees: $5,000. Source: [S5]</t>
  </si>
  <si>
    <t>Legal Documentation &amp; Community Consent</t>
  </si>
  <si>
    <t>1–2 months</t>
  </si>
  <si>
    <t>Assumption: ₹8–10L legal costs for FRA documentation.</t>
  </si>
  <si>
    <t>Annual Monitoring Report (Year 1)</t>
  </si>
  <si>
    <t>Assumption: ₹10L field+satellite+report; scales with project size.</t>
  </si>
  <si>
    <t>Annual Re-Verification Fee</t>
  </si>
  <si>
    <t>Verra renewal: avg $15K. Source: [S4]</t>
  </si>
  <si>
    <t>Miscellaneous / Contingency (10%)</t>
  </si>
  <si>
    <t>—</t>
  </si>
  <si>
    <t>Standard 10% contingency on project budgets.</t>
  </si>
  <si>
    <t>TOTAL CURRENT COST (incl. contingency)</t>
  </si>
  <si>
    <t>12–18 months</t>
  </si>
  <si>
    <t>KEY INSIGHT</t>
  </si>
  <si>
    <t>A gram panchayat managing a 200-hectare community forest generating ~2,000 tCO₂e/year earns ~₹36L–₹40L at ₹1,800–2,000/credit. The current one-time project setup cost of ₹10,290,000 (~₹1 Cr) consumes 2.5+ years of revenue — making solo origination economically impossible. Aranya Carbon's aggregation and automation model reduces per-project cost by 70–80%.</t>
  </si>
  <si>
    <t>ARANYA CARBON EFFICIENCY MODEL — Current Industry vs Platform</t>
  </si>
  <si>
    <t>Cost / Time Item</t>
  </si>
  <si>
    <t>Current Industry</t>
  </si>
  <si>
    <t>Reduction %</t>
  </si>
  <si>
    <t>Time Saving</t>
  </si>
  <si>
    <t>Automation Benefit</t>
  </si>
  <si>
    <t>Forest Boundary Survey (INR)</t>
  </si>
  <si>
    <t>3 wks → 3 days</t>
  </si>
  <si>
    <t>GPS mobile app; pre-loaded GIS boundaries from revenue records</t>
  </si>
  <si>
    <t>Tree Inventory / Assessment (INR)</t>
  </si>
  <si>
    <t>6 wks → 1 week</t>
  </si>
  <si>
    <t>Standardised sampling protocol + IPCC equation automation</t>
  </si>
  <si>
    <t>Project Developer / Consultant (INR)</t>
  </si>
  <si>
    <t>6 mo → 2 weeks</t>
  </si>
  <si>
    <t>Auto PDD generation; shared consultant cost across 20+ projects</t>
  </si>
  <si>
    <t>Validation Audit (INR)</t>
  </si>
  <si>
    <t>3 mo → 6 weeks</t>
  </si>
  <si>
    <t>Structured data package cuts auditor fieldwork by 60%</t>
  </si>
  <si>
    <t>Registration Fees (INR)</t>
  </si>
  <si>
    <t>No change</t>
  </si>
  <si>
    <t>Fixed Verra/BEE fee — no reduction possible</t>
  </si>
  <si>
    <t>Legal &amp; Community Consent (INR)</t>
  </si>
  <si>
    <t>2 mo → 3 days</t>
  </si>
  <si>
    <t>Digital consent app; FRA documentation templates</t>
  </si>
  <si>
    <t>Annual Monitoring (INR)</t>
  </si>
  <si>
    <t>6 wks → automated</t>
  </si>
  <si>
    <t>Monthly satellite NDVI; auto monitoring report</t>
  </si>
  <si>
    <t>Re-verification Fee (INR)</t>
  </si>
  <si>
    <t>Reduced prep time</t>
  </si>
  <si>
    <t>Structured data reduces auditor hours by 50%</t>
  </si>
  <si>
    <t>Contingency 10% (INR)</t>
  </si>
  <si>
    <t>Proportional</t>
  </si>
  <si>
    <t>Lower base cost reduces contingency</t>
  </si>
  <si>
    <t>TOTAL</t>
  </si>
  <si>
    <t>~12 mo → ~3 mo</t>
  </si>
  <si>
    <t>EFFICIENCY SUMMARY</t>
  </si>
  <si>
    <t>Total Cost Reduction (Automation + Aggregation)</t>
  </si>
  <si>
    <t>Project Setup Time: Industry</t>
  </si>
  <si>
    <t>1.5</t>
  </si>
  <si>
    <t>Project Setup Time: Aranya Carbon (Assumption)</t>
  </si>
  <si>
    <t>0.25</t>
  </si>
  <si>
    <t>Time-to-First-Credit: Industry</t>
  </si>
  <si>
    <t>18</t>
  </si>
  <si>
    <t>Time-to-First-Credit: Aranya Carbon (Assumption)</t>
  </si>
  <si>
    <t>4</t>
  </si>
  <si>
    <t>CARBON CREDIT PRICING — Three Scenarios</t>
  </si>
  <si>
    <t>Sources: Ecosystem Marketplace 2023 State of the Voluntary Carbon Markets report [S6]; World Bank Carbon Pricing Dashboard 2023 [S7]; Verra registry pricing schedule [S5].</t>
  </si>
  <si>
    <t>Parameter</t>
  </si>
  <si>
    <t>Conservative</t>
  </si>
  <si>
    <t>Realistic</t>
  </si>
  <si>
    <t>Aggressive</t>
  </si>
  <si>
    <t>Source / Assumption</t>
  </si>
  <si>
    <t>Price per tCO₂e (INR)</t>
  </si>
  <si>
    <t>Assumption; $11/18/40 * 83. Ecosystem Marketplace VCM range. [S6]</t>
  </si>
  <si>
    <t>Price per tCO₂e (USD)</t>
  </si>
  <si>
    <t>INR price ÷ FX rate (row above)</t>
  </si>
  <si>
    <t>Credits per ha per yr (tCO₂e)</t>
  </si>
  <si>
    <t>Assumption; IPCC tropical forest sequestration 3–8 tCO₂e/ha/yr [S8]</t>
  </si>
  <si>
    <t>Forest size — demo project (ha)</t>
  </si>
  <si>
    <t>Assumption; unit economics example</t>
  </si>
  <si>
    <t>Credits generated / project / yr</t>
  </si>
  <si>
    <t>Formula: ha × credits/ha/yr</t>
  </si>
  <si>
    <t>Commission rate</t>
  </si>
  <si>
    <t>Assumption; industry origination fee range 15–25% [S3]</t>
  </si>
  <si>
    <t>Gross revenue / project / yr</t>
  </si>
  <si>
    <t>Formula: price × credits</t>
  </si>
  <si>
    <t>Commission revenue / project / yr</t>
  </si>
  <si>
    <t>Formula: gross × commission</t>
  </si>
  <si>
    <t>Community payout / project / yr</t>
  </si>
  <si>
    <t>Formula: gross × (1−commission)</t>
  </si>
  <si>
    <t>Monitoring fee / project / yr</t>
  </si>
  <si>
    <t>Assumption: ₹75K–₹2L based on project size</t>
  </si>
  <si>
    <t>Net revenue / project / yr (Aranya)</t>
  </si>
  <si>
    <t>Commission + monitoring fee</t>
  </si>
  <si>
    <t>UNIT ECONOMICS — 200 Hectare Community Forest (Realistic Scenario)</t>
  </si>
  <si>
    <t>STEP 1 — REVENUE INPUTS</t>
  </si>
  <si>
    <t>Value</t>
  </si>
  <si>
    <t>Forest area (ha)</t>
  </si>
  <si>
    <t>ha</t>
  </si>
  <si>
    <t>Assumption — representative mid-size project</t>
  </si>
  <si>
    <t>IPCC sequestration rate</t>
  </si>
  <si>
    <t>tCO₂e/ha/yr</t>
  </si>
  <si>
    <t>IPCC 2023 Tier 1 tropical forest [S8]</t>
  </si>
  <si>
    <t>Total credits generated/yr</t>
  </si>
  <si>
    <t>tCO₂e/yr</t>
  </si>
  <si>
    <t>Formula: ha × rate</t>
  </si>
  <si>
    <t>Buffer pool deduction (15%)</t>
  </si>
  <si>
    <t>%</t>
  </si>
  <si>
    <t>Verra permanence buffer requirement [S5]</t>
  </si>
  <si>
    <t>Saleable credits/yr</t>
  </si>
  <si>
    <t>Formula: total × (1−buffer)</t>
  </si>
  <si>
    <t>Price per credit (INR)</t>
  </si>
  <si>
    <t>INR/tCO₂e</t>
  </si>
  <si>
    <t>Assumption — Realistic. [S6]</t>
  </si>
  <si>
    <t>Gross revenue/yr (INR)</t>
  </si>
  <si>
    <t>Formula: saleable × price</t>
  </si>
  <si>
    <t>STEP 2 — REVENUE SPLIT</t>
  </si>
  <si>
    <t>Item</t>
  </si>
  <si>
    <t>% of Gross</t>
  </si>
  <si>
    <t>100.0%</t>
  </si>
  <si>
    <t>Total before deductions</t>
  </si>
  <si>
    <t>Primary revenue stream</t>
  </si>
  <si>
    <t>Aranya Commission (18%)</t>
  </si>
  <si>
    <t>Verifier Cost (amortised, INR)</t>
  </si>
  <si>
    <t>~$500/yr [S5]</t>
  </si>
  <si>
    <t>Verra Annual Fee (INR)</t>
  </si>
  <si>
    <t>Satellite + Infra Cost (INR)</t>
  </si>
  <si>
    <t>Field Ops Amortised (INR)</t>
  </si>
  <si>
    <t>82% of gross revenue</t>
  </si>
  <si>
    <t>Commission minus costs</t>
  </si>
  <si>
    <t>Net Profit to Aranya</t>
  </si>
  <si>
    <t>REVENUE STREAMS — Detailed Breakdown (Realistic Scenario, Year 1)</t>
  </si>
  <si>
    <t>A — Credit Sale Commission</t>
  </si>
  <si>
    <t>18% of gross credit sale value. Aranya Carbon earns this on every tonne sold through the marketplace.</t>
  </si>
  <si>
    <t xml:space="preserve">  Projects active (end Y1)</t>
  </si>
  <si>
    <t>Assumption — conservative ramp</t>
  </si>
  <si>
    <t xml:space="preserve">  Avg credits/project/yr (tCO₂e)</t>
  </si>
  <si>
    <t>Assumption: 200ha × 6 tCO₂e × 85% buffer adj × 80% sell-through</t>
  </si>
  <si>
    <t xml:space="preserve">  Avg price per credit (INR)</t>
  </si>
  <si>
    <t>Assumption [S6]</t>
  </si>
  <si>
    <t xml:space="preserve">  Commission rate</t>
  </si>
  <si>
    <t>Assumption — Aranya platform fee</t>
  </si>
  <si>
    <t xml:space="preserve">  Commission revenue (INR)</t>
  </si>
  <si>
    <t>Formula: projects × credits × price × rate</t>
  </si>
  <si>
    <t>B — Monitoring Subscriptions</t>
  </si>
  <si>
    <t>Annual fee per registered project for satellite monitoring dashboard, NDVI alerts, and annual report generation.</t>
  </si>
  <si>
    <t xml:space="preserve">  Projects paying monitoring fee</t>
  </si>
  <si>
    <t>Assumption — 2 projects in setup, not yet paying</t>
  </si>
  <si>
    <t xml:space="preserve">  Annual fee per project (INR)</t>
  </si>
  <si>
    <t>Assumption: ₹1.25L/yr mid-tier</t>
  </si>
  <si>
    <t xml:space="preserve">  Monitoring revenue (INR)</t>
  </si>
  <si>
    <t>C — NGO SaaS Subscriptions</t>
  </si>
  <si>
    <t>Monthly SaaS for NGOs using Aranya's data collection app, satellite dashboard, and document tools.</t>
  </si>
  <si>
    <t xml:space="preserve">  NGO partners (Y1)</t>
  </si>
  <si>
    <t xml:space="preserve">  Monthly subscription (INR)</t>
  </si>
  <si>
    <t>Assumption: ₹15K/mo; mid-tier SaaS</t>
  </si>
  <si>
    <t xml:space="preserve">  NGO SaaS revenue (INR)</t>
  </si>
  <si>
    <t>Formula: partners × monthly × 12</t>
  </si>
  <si>
    <t>D — Enterprise Buyer Subscriptions</t>
  </si>
  <si>
    <t>Annual subscription for corporate buyers — priority credit access, ESG reporting, and dedicated account management.</t>
  </si>
  <si>
    <t xml:space="preserve">  Enterprise buyers (Y1)</t>
  </si>
  <si>
    <t xml:space="preserve">  Annual subscription (INR)</t>
  </si>
  <si>
    <t>Assumption: ₹2.5L/yr</t>
  </si>
  <si>
    <t xml:space="preserve">  Buyer subscription revenue (INR)</t>
  </si>
  <si>
    <t>TOTAL YEAR 1 REVENUE (REALISTIC)</t>
  </si>
  <si>
    <t>Total Revenue (INR)</t>
  </si>
  <si>
    <t>MARKET SIZING — TAM / SAM / SOM</t>
  </si>
  <si>
    <t>TAM — Total Addressable Market</t>
  </si>
  <si>
    <t>The entire global voluntary carbon market for nature-based solutions (forestry + land use). Source: Ecosystem Marketplace 2023 [S6].</t>
  </si>
  <si>
    <t xml:space="preserve">  Global VCM size (2023, USD)</t>
  </si>
  <si>
    <t xml:space="preserve">  Nature-based solutions share (50%)</t>
  </si>
  <si>
    <t xml:space="preserve">  TAM (NbS segment, USD)</t>
  </si>
  <si>
    <t xml:space="preserve">  TAM (NbS segment, INR at 83)</t>
  </si>
  <si>
    <t>SAM — Serviceable Available Market</t>
  </si>
  <si>
    <t>Indian community and small-project forest carbon credits addressable by a platform-based aggregator. Assumption: 5% of global NbS market is capturable in India.</t>
  </si>
  <si>
    <t xml:space="preserve">  India share of NbS market (Assumption)</t>
  </si>
  <si>
    <t xml:space="preserve">  SAM (USD)</t>
  </si>
  <si>
    <t xml:space="preserve">  SAM (INR)</t>
  </si>
  <si>
    <t xml:space="preserve">  Gram panchayats with forest &gt;50ha</t>
  </si>
  <si>
    <t xml:space="preserve">  Avg credits/panchayat/yr (tCO₂e)</t>
  </si>
  <si>
    <t xml:space="preserve">  Avg price/credit (INR)</t>
  </si>
  <si>
    <t xml:space="preserve">  Bottom-up theoretical ceiling (INR) — for reference only</t>
  </si>
  <si>
    <t>Illustrative only: assumes ALL 40,000 panchayats participate simultaneously. Not used as the SAM figure — see C14 for the actual SAM estimate (5% of TAM).</t>
  </si>
  <si>
    <t>SOM — Serviceable Obtainable Market (5-year horizon)</t>
  </si>
  <si>
    <t>Realistically capturable portion of SAM given team size, capital, and market development speed.</t>
  </si>
  <si>
    <t xml:space="preserve">  Target panchayats (Y5)</t>
  </si>
  <si>
    <t xml:space="preserve">  Avg credits/project/yr</t>
  </si>
  <si>
    <t xml:space="preserve">  SOM gross credits value (INR)</t>
  </si>
  <si>
    <t xml:space="preserve">  Aranya revenue share (18% commission + fees)</t>
  </si>
  <si>
    <t xml:space="preserve">  SOM market share %</t>
  </si>
  <si>
    <t>YEAR 1 MONTHLY FINANCIAL PROJECTION — Realistic Scenario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</si>
  <si>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</si>
  <si>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</si>
  <si>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</si>
  <si>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</si>
  <si>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</si>
  <si>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</si>
  <si>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</si>
  <si>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</si>
  <si>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</si>
  <si>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</si>
  <si>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</si>
  <si>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</si>
  <si>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Y1 Total</t>
  </si>
  <si>
    <t>Projects active (cumulative)</t>
  </si>
  <si>
    <t>Credits per project/mo (tCO₂e, Assumption)</t>
  </si>
  <si>
    <t>Price per credit (INR, Assumption)</t>
  </si>
  <si>
    <t>REVENUE</t>
  </si>
  <si>
    <t>Credit Commission Revenue (INR)</t>
  </si>
  <si>
    <t>Monitoring Subscriptions (INR)</t>
  </si>
  <si>
    <t>NGO SaaS Revenue (INR)</t>
  </si>
  <si>
    <t>Enterprise Buyer Revenue (INR)</t>
  </si>
  <si>
    <t>TOTAL REVENUE (INR)</t>
  </si>
  <si>
    <t>COSTS</t>
  </si>
  <si>
    <t>Field Operations (INR)</t>
  </si>
  <si>
    <t>Technology &amp; Infrastructure (INR)</t>
  </si>
  <si>
    <t>Salaries (INR)</t>
  </si>
  <si>
    <t>Sales &amp; Marketing (INR)</t>
  </si>
  <si>
    <t>Admin &amp; Legal (INR)</t>
  </si>
  <si>
    <t>TOTAL COSTS (INR)</t>
  </si>
  <si>
    <t>GROSS PROFIT (INR)</t>
  </si>
  <si>
    <t>NET PROFIT / (LOSS) (INR)</t>
  </si>
  <si>
    <t>YEAR 3 FINANCIAL PROJECTION — Realistic Scenario</t>
  </si>
  <si>
    <t>Year 2</t>
  </si>
  <si>
    <t>Y2 Growth</t>
  </si>
  <si>
    <t>Y3 Growth</t>
  </si>
  <si>
    <t>GROWTH ASSUMPTIONS</t>
  </si>
  <si>
    <t>Projects Active</t>
  </si>
  <si>
    <t>Assumption: 2.5× Y1; 2× Y2</t>
  </si>
  <si>
    <t>Credits per project/yr (tCO₂e)</t>
  </si>
  <si>
    <t>Assumption: efficiency gains</t>
  </si>
  <si>
    <t>Avg price/credit (INR)</t>
  </si>
  <si>
    <t>Assumption: market appreciation [S6]</t>
  </si>
  <si>
    <t>Assumption: stable</t>
  </si>
  <si>
    <t>REVENUE (INR)</t>
  </si>
  <si>
    <t>Credit Commission</t>
  </si>
  <si>
    <t>NGO SaaS</t>
  </si>
  <si>
    <t>Assumption: ₹15K → ₹20K/mo × growing partners</t>
  </si>
  <si>
    <t>Enterprise Buyer Subs</t>
  </si>
  <si>
    <t>Assumption: 2 → 4 → 8 buyers</t>
  </si>
  <si>
    <t>COSTS (INR)</t>
  </si>
  <si>
    <t>Field Operations</t>
  </si>
  <si>
    <t>Revised: ₹1.2-1.65L/project/yr ongoing field cost — aligned with Year 5 sheet</t>
  </si>
  <si>
    <t>Technology &amp; Infra</t>
  </si>
  <si>
    <t>Salaries</t>
  </si>
  <si>
    <t>Revised: blended ₹9L/yr/FTE — aligned with Year 5 sheet</t>
  </si>
  <si>
    <t>Sales &amp; Marketing</t>
  </si>
  <si>
    <t>Admin &amp; Legal</t>
  </si>
  <si>
    <t>TOTAL COSTS</t>
  </si>
  <si>
    <t>GROSS PROFIT</t>
  </si>
  <si>
    <t>Gross Margin %</t>
  </si>
  <si>
    <t>NET PROFIT / (LOSS)</t>
  </si>
  <si>
    <t>Formula (pre-tax)</t>
  </si>
  <si>
    <t>YEAR 5 FINANCIAL PROJECTION — Realistic Scenario (Scaling)</t>
  </si>
  <si>
    <t>Year 4</t>
  </si>
  <si>
    <t>SCALING ASSUMPTIONS</t>
  </si>
  <si>
    <t>Assumption: market penetration trajectory</t>
  </si>
  <si>
    <t>Credits/project/yr</t>
  </si>
  <si>
    <t>Assumption: platform efficiency gains</t>
  </si>
  <si>
    <t>Assumption: Article 6 + CCTS premium [S7]</t>
  </si>
  <si>
    <t>Stable</t>
  </si>
  <si>
    <t>Monitoring Subs</t>
  </si>
  <si>
    <t>Revised: ₹1.2-1.65L/project/yr ongoing field relationship + monitoring support cost at scale</t>
  </si>
  <si>
    <t>Cloud + GEE API</t>
  </si>
  <si>
    <t>Revised: blended ₹9L/yr/FTE average (field coordinators + tech + ops), 25 FTEs by Y5</t>
  </si>
  <si>
    <t>EBITDA</t>
  </si>
  <si>
    <t>Formula (pre-D&amp;A; early stage)</t>
  </si>
  <si>
    <t>EBITDA Margin</t>
  </si>
  <si>
    <t>SCENARIO ANALYSIS — Conservative / Realistic / Aggressive</t>
  </si>
  <si>
    <t>YEAR 1 KEY ASSUMPTIONS</t>
  </si>
  <si>
    <t>Projects onboarded</t>
  </si>
  <si>
    <t>projects</t>
  </si>
  <si>
    <t>Credits / project / yr</t>
  </si>
  <si>
    <t>Price / credit</t>
  </si>
  <si>
    <t>YEAR 1 OUTPUTS</t>
  </si>
  <si>
    <t>Total Credits Sold</t>
  </si>
  <si>
    <t>Gross Credit Value</t>
  </si>
  <si>
    <t>Commission Revenue</t>
  </si>
  <si>
    <t>Monitoring Revenue</t>
  </si>
  <si>
    <t>NGO SaaS Revenue</t>
  </si>
  <si>
    <t>Total Costs</t>
  </si>
  <si>
    <t>YEAR 5 OUTPUTS</t>
  </si>
  <si>
    <t>INR (cost as % of rev)</t>
  </si>
  <si>
    <t>SENSITIVITY ANALYSIS — Impact on Aranya Commission Revenue (Year 1)</t>
  </si>
  <si>
    <t>BASE CASE ASSUMPTIONS (Realistic)</t>
  </si>
  <si>
    <t>Base projects</t>
  </si>
  <si>
    <t>Base credits/proj/yr</t>
  </si>
  <si>
    <t>Base price/credit</t>
  </si>
  <si>
    <t>Base commission</t>
  </si>
  <si>
    <t>Base revenue (INR)</t>
  </si>
  <si>
    <t>TABLE 1 — REVENUE SENSITIVITY TO CREDIT PRICE</t>
  </si>
  <si>
    <t>Projects → / Price ↓</t>
  </si>
  <si>
    <t>6 proj</t>
  </si>
  <si>
    <t>9 proj</t>
  </si>
  <si>
    <t>12 proj</t>
  </si>
  <si>
    <t>15 proj</t>
  </si>
  <si>
    <t>18 proj</t>
  </si>
  <si>
    <t>20 proj</t>
  </si>
  <si>
    <t>₹600/tCO₂e</t>
  </si>
  <si>
    <t>₹900/tCO₂e</t>
  </si>
  <si>
    <t>₹1,200/tCO₂e</t>
  </si>
  <si>
    <t>₹1,500/tCO₂e</t>
  </si>
  <si>
    <t>₹1,800/tCO₂e</t>
  </si>
  <si>
    <t>₹2,100/tCO₂e</t>
  </si>
  <si>
    <t>₹2,400/tCO₂e</t>
  </si>
  <si>
    <t>₹3,000/tCO₂e</t>
  </si>
  <si>
    <t>TABLE 2 — REVENUE SENSITIVITY TO COMMISSION RATE</t>
  </si>
  <si>
    <t>Commission % / Projects →</t>
  </si>
  <si>
    <t>10% commission</t>
  </si>
  <si>
    <t>12% commission</t>
  </si>
  <si>
    <t>15% commission</t>
  </si>
  <si>
    <t>18% commission</t>
  </si>
  <si>
    <t>20% commission</t>
  </si>
  <si>
    <t>22% commission</t>
  </si>
  <si>
    <t>25% commission</t>
  </si>
  <si>
    <t>Legend:</t>
  </si>
  <si>
    <t>High revenue (≥₹40L)</t>
  </si>
  <si>
    <t>Mid revenue (₹20–40L)</t>
  </si>
  <si>
    <t>Low revenue (&lt;₹20L)</t>
  </si>
  <si>
    <t>COMPETITOR LANDSCAPE &amp; ECONOMICS</t>
  </si>
  <si>
    <t>Company</t>
  </si>
  <si>
    <t>Business Model</t>
  </si>
  <si>
    <t>Revenue Model</t>
  </si>
  <si>
    <t>Target Market</t>
  </si>
  <si>
    <t>India Presence</t>
  </si>
  <si>
    <t>Aranya Advantage</t>
  </si>
  <si>
    <t>EKI Energy (India, listed)</t>
  </si>
  <si>
    <t>Carbon credit developer &amp; broker; mostly renewables, cookstoves</t>
  </si>
  <si>
    <t>Take rate 10–20% on credits brokered; advisory fees</t>
  </si>
  <si>
    <t>Large Indian industrials; MSME energy efficiency</t>
  </si>
  <si>
    <t>Strong — headquartered India</t>
  </si>
  <si>
    <t>EKI is a trader, not a tech platform. No community forest focus. No digital origination.</t>
  </si>
  <si>
    <t>Varaha (India, startup)</t>
  </si>
  <si>
    <t>Agricultural soil carbon (regenerative farming)</t>
  </si>
  <si>
    <t>Revenue share on credits sold from farm carbon projects</t>
  </si>
  <si>
    <t>Indian smallholder farmers (agri carbon)</t>
  </si>
  <si>
    <t>Strong — founded India, IIT/IIM team</t>
  </si>
  <si>
    <t>Different vertical (agri vs forest). Potential partner, not direct competitor.</t>
  </si>
  <si>
    <t>South Pole (Switzerland)</t>
  </si>
  <si>
    <t>World's largest carbon project developer &amp; retailer</t>
  </si>
  <si>
    <t>Project development fees + credit sale margin (15–25%)</t>
  </si>
  <si>
    <t>Large industrial projects globally; min project ~$500K</t>
  </si>
  <si>
    <t>Minimal — no dedicated India team</t>
  </si>
  <si>
    <t>South Pole ignores sub-1,000ha projects. We serve exactly the gap they can't.</t>
  </si>
  <si>
    <t>Wildlife Works (USA)</t>
  </si>
  <si>
    <t>REDD+ forest conservation projects</t>
  </si>
  <si>
    <t>Credit sale revenue share (keeps 20–30%)</t>
  </si>
  <si>
    <t>Large forest landowners; Africa/Latin America</t>
  </si>
  <si>
    <t>None</t>
  </si>
  <si>
    <t>Zero India operations. Methodology expertise could be a partnership target.</t>
  </si>
  <si>
    <t>ClimateConnect Digital (India)</t>
  </si>
  <si>
    <t>Renewable energy certificate (REC) trading platform</t>
  </si>
  <si>
    <t>SaaS + transaction fees on REC trades</t>
  </si>
  <si>
    <t>Indian renewable energy generators and obligated entities</t>
  </si>
  <si>
    <t>Strong — CERC licensed platform</t>
  </si>
  <si>
    <t>Different product (RECs ≠ carbon credits). Potential integration for multi-product buyers.</t>
  </si>
  <si>
    <t>Gold Standard (Switzerland)</t>
  </si>
  <si>
    <t>Carbon credit standard body and registry</t>
  </si>
  <si>
    <t>Registration + annual fees from project developers</t>
  </si>
  <si>
    <t>NGOs and project developers globally</t>
  </si>
  <si>
    <t>Growing — advisory presence</t>
  </si>
  <si>
    <t>Standard body, not competitor. We use their standard; we could register projects with them.</t>
  </si>
  <si>
    <t>COMPETITIVE POSITIONING MATRIX</t>
  </si>
  <si>
    <t>Feature</t>
  </si>
  <si>
    <t>EKI Energy</t>
  </si>
  <si>
    <t>Varaha</t>
  </si>
  <si>
    <t>South Pole</t>
  </si>
  <si>
    <t>Wildlife Works</t>
  </si>
  <si>
    <t>India community forest focus</t>
  </si>
  <si>
    <t>✓</t>
  </si>
  <si>
    <t>✗</t>
  </si>
  <si>
    <t>Tech-first digital platform</t>
  </si>
  <si>
    <t>Sub-500ha project viability</t>
  </si>
  <si>
    <t>Satellite monitoring included</t>
  </si>
  <si>
    <t>Buyer marketplace</t>
  </si>
  <si>
    <t>Partial</t>
  </si>
  <si>
    <t>Local language support</t>
  </si>
  <si>
    <t>Article 6 compliance ready</t>
  </si>
  <si>
    <t>Planned</t>
  </si>
  <si>
    <t>Community payout automation</t>
  </si>
  <si>
    <t>RISK ANALYSIS — Quantified Impact on Revenue</t>
  </si>
  <si>
    <t>Risk Factor</t>
  </si>
  <si>
    <t>Probability</t>
  </si>
  <si>
    <t>Severity</t>
  </si>
  <si>
    <t>Base Revenue Impact</t>
  </si>
  <si>
    <t>Probability-Adj Impact</t>
  </si>
  <si>
    <t>Mitigation</t>
  </si>
  <si>
    <t>Source / Basis</t>
  </si>
  <si>
    <t>Base Y1 Commission Revenue (INR)</t>
  </si>
  <si>
    <t>Carbon price decline 50% (to ₹900/tCO₂e)</t>
  </si>
  <si>
    <t>High</t>
  </si>
  <si>
    <t>Diversify into Article 6 (higher price) + monitoring SaaS (price-independent)</t>
  </si>
  <si>
    <t>VCM prices fell 40% in 2023. [S6]</t>
  </si>
  <si>
    <t>Verra methodology change / invalidation</t>
  </si>
  <si>
    <t>Very High</t>
  </si>
  <si>
    <t>Register on multiple standards (Gold Standard + BEE CCTS). Methodology-agnostic platform.</t>
  </si>
  <si>
    <t>Historical: Verra revised VM0007 in 2022 [S5]</t>
  </si>
  <si>
    <t>Lower project onboarding (50% of target)</t>
  </si>
  <si>
    <t>Medium</t>
  </si>
  <si>
    <t>NGO partner channel de-risks direct origination. Pre-signed MoUs.</t>
  </si>
  <si>
    <t>Assumption: community trust-building slower than modelled</t>
  </si>
  <si>
    <t>Delayed verification (adds 6 months)</t>
  </si>
  <si>
    <t>Pre-package projects for verification; verifier retainer contracts.</t>
  </si>
  <si>
    <t>Assumption: auditor availability constraints in India</t>
  </si>
  <si>
    <t>Carbon rights legal challenge</t>
  </si>
  <si>
    <t>Legal opinion + pilot with MoEFCC engagement. FRA 2006 community rights framework.</t>
  </si>
  <si>
    <t>Assumption: FRA interpretation risk — no court precedent on carbon</t>
  </si>
  <si>
    <t>Corporate buyer adoption slower than forecast</t>
  </si>
  <si>
    <t>Sell to MNCs with existing voluntary commitments first. Lock in 2–3 anchor buyers.</t>
  </si>
  <si>
    <t>Assumption: Indian corporate ESG maturity still early</t>
  </si>
  <si>
    <t>Key team departure / founder risk</t>
  </si>
  <si>
    <t>ESOP vesting; early hire of carbon domain expert.</t>
  </si>
  <si>
    <t>Assumption: standard startup risk</t>
  </si>
  <si>
    <t>Regulatory reversal (CCTS suspended)</t>
  </si>
  <si>
    <t>Voluntary market is independent of CCTS. International buyer base as hedge.</t>
  </si>
  <si>
    <t>Assumption: political risk — new government priorities</t>
  </si>
  <si>
    <t>TOTAL PROBABILITY-ADJUSTED RISK (INR)</t>
  </si>
  <si>
    <t>SOURCES &amp; REFERENCES — All data points used in this financial model</t>
  </si>
  <si>
    <t>IMPORTANT: This model is built for a pre-seed/hackathon stage startup. All prices, market sizes, and benchmarks are cross-referenced with publicly available sources. Items marked 'Assumption' are reasonable estimates that MUST be validated through primary research, customer interviews, and pilot projects before fundraising.</t>
  </si>
  <si>
    <t>#</t>
  </si>
  <si>
    <t>Source Name</t>
  </si>
  <si>
    <t>Organization</t>
  </si>
  <si>
    <t>Year</t>
  </si>
  <si>
    <t>URL</t>
  </si>
  <si>
    <t>Metric / Data Used in Model</t>
  </si>
  <si>
    <t>[S1]</t>
  </si>
  <si>
    <t>India State of Forest Report (ISFR) 2023</t>
  </si>
  <si>
    <t>Forest Survey of India (MoEFCC)</t>
  </si>
  <si>
    <t>2023</t>
  </si>
  <si>
    <t>https://fsi.nic.in/isfr2023</t>
  </si>
  <si>
    <t>Forest cover data; community/gram panchayat forest area estimates; India total forest cover ~7.13L sq km</t>
  </si>
  <si>
    <t>[S2]</t>
  </si>
  <si>
    <t>IPCC Guidelines for National Greenhouse Gas Inventories — Chapter 4 (Forest Land)</t>
  </si>
  <si>
    <t>Intergovernmental Panel on Climate Change (IPCC)</t>
  </si>
  <si>
    <t>https://www.ipcc-nggip.iges.or.jp/public/2006gl/vol4.html</t>
  </si>
  <si>
    <t>Tier 1 biomass expansion factors; carbon sequestration rates for tropical forests (3–8 tCO₂e/ha/yr); allometric equations</t>
  </si>
  <si>
    <t>[S3]</t>
  </si>
  <si>
    <t>State of Voluntary Carbon Markets 2023</t>
  </si>
  <si>
    <t>Ecosystem Marketplace / Forest Trends</t>
  </si>
  <si>
    <t>https://www.ecosystemmarketplace.com/publications/state-of-voluntary-carbon-markets-2023/</t>
  </si>
  <si>
    <t>VCM size ~$2B (2023); nature-based solutions share ~50%; price ranges for REDD+ credits $5–50/tonne; origination fee norms 15–25%</t>
  </si>
  <si>
    <t>[S4]</t>
  </si>
  <si>
    <t>Carbon Offset Program Verification Costs — Industry Survey</t>
  </si>
  <si>
    <t>South Pole Group (public report)</t>
  </si>
  <si>
    <t>2022</t>
  </si>
  <si>
    <t>https://www.southpole.com/publications/carbon-project-development</t>
  </si>
  <si>
    <t>Third-party audit costs: validation $25–40K; annual verification $15–25K per project</t>
  </si>
  <si>
    <t>[S5]</t>
  </si>
  <si>
    <t>Verra Registry — Schedule of Fees and Approved Methodologies</t>
  </si>
  <si>
    <t>Verra (Verified Carbon Standard)</t>
  </si>
  <si>
    <t>2024</t>
  </si>
  <si>
    <t>https://verra.org/programs/verified-carbon-standard/project-registration/</t>
  </si>
  <si>
    <t>Registration fees ~$5,000; annual maintenance ~$500; methodology VM0007 (REDD+); permanence buffer 10–20%</t>
  </si>
  <si>
    <t>[S6]</t>
  </si>
  <si>
    <t>State of the Voluntary Carbon Markets 2023 — Pricing Data</t>
  </si>
  <si>
    <t>Ecosystem Marketplace</t>
  </si>
  <si>
    <t>https://www.ecosystemmarketplace.com/carbon-markets/</t>
  </si>
  <si>
    <t>Price per tonne NbS (nature-based solutions): $5–$15 basic; $20–$50 with co-benefits; market direction and trends</t>
  </si>
  <si>
    <t>[S7]</t>
  </si>
  <si>
    <t>Carbon Pricing Dashboard 2023</t>
  </si>
  <si>
    <t>World Bank Group</t>
  </si>
  <si>
    <t>https://carbonpricingdashboard.worldbank.org/</t>
  </si>
  <si>
    <t>Global carbon price trends; Article 6 bilateral deal pricing context; compliance vs voluntary market comparison</t>
  </si>
  <si>
    <t>[S8]</t>
  </si>
  <si>
    <t>Fourth Assessment of Climate Change — Carbon Density Tables</t>
  </si>
  <si>
    <t>IPCC / FAO</t>
  </si>
  <si>
    <t>https://www.fao.org/3/i1757e/i1757e.pdf</t>
  </si>
  <si>
    <t>Above-ground biomass carbon density for South/Southeast Asian tropical forests: average 6 tCO₂e/ha/yr used as model base</t>
  </si>
  <si>
    <t>[S9]</t>
  </si>
  <si>
    <t>Annual Report 2022–23 — Forest Rights Act Implementation</t>
  </si>
  <si>
    <t>Ministry of Tribal Affairs, Government of India</t>
  </si>
  <si>
    <t>https://tribal.gov.in/writereaddata/Portal/Images/AnnualReport_MoTA_2022-23.pdf</t>
  </si>
  <si>
    <t>Number of gram panchayats with community forest resource titles: ~1.8L titles; 40,000 with significant forest used as SAM estimate</t>
  </si>
  <si>
    <t>[S10]</t>
  </si>
  <si>
    <t>Carbon Credit Trading Scheme (CCTS) Notification</t>
  </si>
  <si>
    <t>Bureau of Energy Efficiency (BEE), Ministry of Power, GoI</t>
  </si>
  <si>
    <t>https://beeindia.gov.in/en/schemes/carbon-credit-trading-scheme-ccts</t>
  </si>
  <si>
    <t>India's domestic carbon compliance market framework; eligible sectors; timeline for operationalisation</t>
  </si>
  <si>
    <t>[S11]</t>
  </si>
  <si>
    <t>EKI Energy Services Annual Report 2022–23</t>
  </si>
  <si>
    <t>EKI Energy Services Ltd (BSE: 543284)</t>
  </si>
  <si>
    <t>https://www.ekienergy.org/investor-relations/annual-reports/</t>
  </si>
  <si>
    <t>Competitor benchmarking: revenue model, take rate, target market, India operations</t>
  </si>
  <si>
    <t>[S12]</t>
  </si>
  <si>
    <t>Varaha — Company Overview and Carbon Methodology</t>
  </si>
  <si>
    <t>Varaha Climate (private company)</t>
  </si>
  <si>
    <t>https://www.varaha.earth/</t>
  </si>
  <si>
    <t>Competitor benchmarking: agricultural carbon approach, India startup ecosystem context</t>
  </si>
  <si>
    <t>ASSUMPTION</t>
  </si>
  <si>
    <t>USD/INR Exchange Rate</t>
  </si>
  <si>
    <t>Reserve Bank of India Reference Rate</t>
  </si>
  <si>
    <t>https://www.rbi.org.in/Scripts/ReferenceRateArchive.aspx</t>
  </si>
  <si>
    <t>1 USD = ₹83 used throughout; CHECK and update at time of fundraising</t>
  </si>
  <si>
    <t>Aranya Carbon Commission Rate (18%)</t>
  </si>
  <si>
    <t>Internal Assumption</t>
  </si>
  <si>
    <t>N/A</t>
  </si>
  <si>
    <t>Industry range 15–25% (see S3). 18% chosen as mid-point for realistic scenario. MUST validate with first 3–5 panchayat deals.</t>
  </si>
  <si>
    <t>Community Forest Carbon Density (6 tCO₂e/ha/yr)</t>
  </si>
  <si>
    <t>Internal Assumption based on IPCC [S8]</t>
  </si>
  <si>
    <t>Uses IPCC Tier 1 average. MUST validate with actual India forest inventory data (FSI/ISFR field surveys).</t>
  </si>
  <si>
    <t>Project Onboarding Ramp (12 in Y1)</t>
  </si>
  <si>
    <t>Based on 1 project/month with 3 field officers. MUST validate with NGO partner capacity.</t>
  </si>
  <si>
    <t>Legal &amp; Field Operations Costs</t>
  </si>
  <si>
    <t>No published benchmarks for India community carbon project costs. Estimated from South Pole developer cost data scaled for India.</t>
  </si>
  <si>
    <t>Gram Panchayats with &gt;50ha forest (40,000)</t>
  </si>
  <si>
    <t>Internal Estimate from MoTA data [S9]</t>
  </si>
  <si>
    <t>MoTA reports ~1.8L CFR titles; assume 40K have significant (&gt;50ha) forest. MUST validate with FSI state-level data.</t>
  </si>
  <si>
    <t>2026 (Pre-Seed Stage)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</si>
</sst>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&quot; tCO₂e&quot;"/>
    <numFmt numFmtId="165" formatCode="\₹#,##0;&quot;(₹&quot;#,##0\);\-"/>
    <numFmt numFmtId="166" formatCode="\$#,##0;&quot;($&quot;#,##0\);\-"/>
    <numFmt numFmtId="167" formatCode="0.0%;\(0.0%\);\-"/>
    <numFmt numFmtId="168" formatCode="0.0&quot; years&quot;"/>
    <numFmt numFmtId="169" formatCode="0&quot; months&quot;"/>
    <numFmt numFmtId="170" formatCode="#,##0;\(#,##0\);\-"/>
    <numFmt numFmtId="171" formatCode="0.0%"/>
  </numFmts>
  <fonts count="32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52B788"/>
      <name val="Arial"/>
      <charset val="1"/>
    </font>
    <font>
      <i/>
      <sz val="9"/>
      <color rgb="FF000000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2D6A4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636E72"/>
      <name val="Arial"/>
      <charset val="1"/>
    </font>
    <font>
      <sz val="10"/>
      <color rgb="FF008000"/>
      <name val="Arial"/>
      <charset val="1"/>
    </font>
    <font>
      <i/>
      <sz val="9"/>
      <color rgb="FF636E72"/>
      <name val="Arial"/>
      <charset val="1"/>
    </font>
    <font>
      <b/>
      <sz val="10"/>
      <color rgb="FF2D6A4F"/>
      <name val="Arial"/>
      <charset val="1"/>
    </font>
    <font>
      <b/>
      <sz val="13"/>
      <color rgb="FFFFFFFF"/>
      <name val="Arial"/>
      <charset val="1"/>
    </font>
    <font>
      <sz val="10"/>
      <color rgb="FFE74C3C"/>
      <name val="Arial"/>
      <charset val="1"/>
    </font>
    <font>
      <i/>
      <sz val="10"/>
      <color rgb="FF000000"/>
      <name val="Arial"/>
      <charset val="1"/>
    </font>
    <font>
      <b/>
      <sz val="10"/>
      <color rgb="FF0000FF"/>
      <name val="Arial"/>
      <charset val="1"/>
    </font>
    <font>
      <b/>
      <sz val="10"/>
      <color rgb="FF636E72"/>
      <name val="Arial"/>
      <charset val="1"/>
    </font>
    <font>
      <b/>
      <sz val="10"/>
      <color theme="1"/>
      <name val="Arial"/>
      <charset val="1"/>
    </font>
    <font>
      <sz val="9"/>
      <color rgb="FF636E72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i/>
      <sz val="9"/>
      <color rgb="FF2D6A4F"/>
      <name val="Arial"/>
      <charset val="1"/>
    </font>
    <font>
      <sz val="9"/>
      <color rgb="FFF39C12"/>
      <name val="Arial"/>
      <charset val="1"/>
    </font>
    <font>
      <b/>
      <sz val="10"/>
      <color rgb="FFE74C3C"/>
      <name val="Cambria"/>
      <charset val="1"/>
    </font>
    <font>
      <b/>
      <sz val="10"/>
      <color rgb="FFF39C12"/>
      <name val="Cambria"/>
      <charset val="1"/>
    </font>
    <font>
      <b/>
      <sz val="10"/>
      <color rgb="FFE74C3C"/>
      <name val="Arial"/>
      <charset val="1"/>
    </font>
    <font>
      <b/>
      <sz val="9"/>
      <color rgb="FF2D6A4F"/>
      <name val="Arial"/>
      <charset val="1"/>
    </font>
    <font>
      <sz val="9"/>
      <color rgb="FF2980B9"/>
      <name val="Arial"/>
      <charset val="1"/>
    </font>
    <font>
      <i/>
      <sz val="9"/>
      <color rgb="FF2D3436"/>
      <name val="Arial"/>
      <charset val="1"/>
    </font>
    <font>
      <b/>
      <sz val="9"/>
      <color rgb="FFF39C12"/>
      <name val="Arial"/>
      <charset val="1"/>
    </font>
    <font>
      <sz val="10"/>
      <color rgb="FF00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A3C2E"/>
        <bgColor rgb="FF1B4332"/>
      </patternFill>
    </fill>
    <fill>
      <patternFill patternType="solid">
        <fgColor rgb="FF2D3436"/>
        <bgColor rgb="FF1A3C2E"/>
      </patternFill>
    </fill>
    <fill>
      <patternFill patternType="solid">
        <fgColor rgb="FFEBF5FB"/>
        <bgColor rgb="FFF4F6F7"/>
      </patternFill>
    </fill>
    <fill>
      <patternFill patternType="solid">
        <fgColor rgb="FF2D6A4F"/>
        <bgColor rgb="FF636E72"/>
      </patternFill>
    </fill>
    <fill>
      <patternFill patternType="solid">
        <fgColor rgb="FF52B788"/>
        <bgColor rgb="FF40916C"/>
      </patternFill>
    </fill>
    <fill>
      <patternFill patternType="solid">
        <fgColor rgb="FFD8F3DC"/>
        <bgColor rgb="FFEBF5FB"/>
      </patternFill>
    </fill>
    <fill>
      <patternFill patternType="solid">
        <fgColor rgb="FFF4F6F7"/>
        <bgColor rgb="FFF9F9F9"/>
      </patternFill>
    </fill>
    <fill>
      <patternFill patternType="solid">
        <fgColor rgb="FFFFF3CD"/>
        <bgColor rgb="FFFFF9C4"/>
      </patternFill>
    </fill>
    <fill>
      <patternFill patternType="solid">
        <fgColor rgb="FFFFFF00"/>
        <bgColor rgb="FFFFFF00"/>
      </patternFill>
    </fill>
    <fill>
      <patternFill patternType="solid">
        <fgColor rgb="FF1B4332"/>
        <bgColor rgb="FF1A3C2E"/>
      </patternFill>
    </fill>
    <fill>
      <patternFill patternType="solid">
        <fgColor rgb="FF40916C"/>
        <bgColor rgb="FF4F81BD"/>
      </patternFill>
    </fill>
    <fill>
      <patternFill patternType="solid">
        <fgColor rgb="FFFCE4E4"/>
        <bgColor rgb="FFFFF3CD"/>
      </patternFill>
    </fill>
    <fill>
      <patternFill patternType="solid">
        <fgColor rgb="FF855E42"/>
        <bgColor rgb="FF636E72"/>
      </patternFill>
    </fill>
    <fill>
      <patternFill patternType="solid">
        <fgColor rgb="FF1B2A4A"/>
        <bgColor rgb="FF2D3436"/>
      </patternFill>
    </fill>
    <fill>
      <patternFill patternType="solid">
        <fgColor rgb="FFFFCDD2"/>
        <bgColor rgb="FFFCE4E4"/>
      </patternFill>
    </fill>
    <fill>
      <patternFill patternType="solid">
        <fgColor rgb="FFFFF9C4"/>
        <bgColor rgb="FFFFF3CD"/>
      </patternFill>
    </fill>
    <fill>
      <patternFill patternType="solid">
        <fgColor rgb="FFC8E6C9"/>
        <bgColor rgb="FFD9D9D9"/>
      </patternFill>
    </fill>
    <fill>
      <patternFill patternType="solid">
        <fgColor rgb="FFFFFFFF"/>
        <bgColor rgb="FFF9F9F9"/>
      </patternFill>
    </fill>
  </fills>
  <borders count="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1A3C2E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4" fillId="6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3" xfId="0" applyBorder="1"/>
    <xf numFmtId="0" fontId="15" fillId="4" borderId="0" xfId="0" applyFont="1" applyFill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3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7" fontId="6" fillId="0" borderId="1" xfId="0" applyNumberFormat="1" applyFont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center" vertical="center"/>
    </xf>
    <xf numFmtId="167" fontId="5" fillId="7" borderId="2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8" fontId="16" fillId="0" borderId="1" xfId="0" applyNumberFormat="1" applyFont="1" applyBorder="1" applyAlignment="1">
      <alignment horizontal="center" vertical="center"/>
    </xf>
    <xf numFmtId="168" fontId="16" fillId="10" borderId="1" xfId="0" applyNumberFormat="1" applyFont="1" applyFill="1" applyBorder="1" applyAlignment="1">
      <alignment horizontal="center" vertical="center"/>
    </xf>
    <xf numFmtId="169" fontId="16" fillId="0" borderId="1" xfId="0" applyNumberFormat="1" applyFont="1" applyBorder="1" applyAlignment="1">
      <alignment horizontal="center" vertical="center"/>
    </xf>
    <xf numFmtId="169" fontId="16" fillId="10" borderId="1" xfId="0" applyNumberFormat="1" applyFont="1" applyFill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70" fontId="8" fillId="0" borderId="1" xfId="0" applyNumberFormat="1" applyFont="1" applyBorder="1" applyAlignment="1">
      <alignment horizontal="center" vertical="center"/>
    </xf>
    <xf numFmtId="170" fontId="7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170" fontId="5" fillId="7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left" vertical="center" wrapText="1"/>
    </xf>
    <xf numFmtId="0" fontId="18" fillId="7" borderId="0" xfId="0" applyFont="1" applyFill="1"/>
    <xf numFmtId="3" fontId="8" fillId="10" borderId="1" xfId="0" applyNumberFormat="1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171" fontId="8" fillId="0" borderId="1" xfId="0" applyNumberFormat="1" applyFont="1" applyBorder="1" applyAlignment="1">
      <alignment horizontal="center" vertical="center"/>
    </xf>
    <xf numFmtId="165" fontId="8" fillId="10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171" fontId="7" fillId="0" borderId="1" xfId="0" applyNumberFormat="1" applyFont="1" applyBorder="1" applyAlignment="1">
      <alignment horizontal="center" vertical="center"/>
    </xf>
    <xf numFmtId="171" fontId="5" fillId="7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171" fontId="0" fillId="0" borderId="0" xfId="0" applyNumberFormat="1"/>
    <xf numFmtId="170" fontId="8" fillId="10" borderId="1" xfId="0" applyNumberFormat="1" applyFont="1" applyFill="1" applyBorder="1" applyAlignment="1">
      <alignment horizontal="center" vertical="center"/>
    </xf>
    <xf numFmtId="167" fontId="8" fillId="10" borderId="1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70" fontId="12" fillId="7" borderId="2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/>
    </xf>
    <xf numFmtId="165" fontId="5" fillId="13" borderId="1" xfId="0" applyNumberFormat="1" applyFont="1" applyFill="1" applyBorder="1" applyAlignment="1">
      <alignment horizontal="center" vertical="center"/>
    </xf>
    <xf numFmtId="165" fontId="5" fillId="13" borderId="2" xfId="0" applyNumberFormat="1" applyFont="1" applyFill="1" applyBorder="1" applyAlignment="1">
      <alignment horizontal="center" vertical="center"/>
    </xf>
    <xf numFmtId="0" fontId="0" fillId="0" borderId="1" xfId="0" applyBorder="1"/>
    <xf numFmtId="167" fontId="12" fillId="0" borderId="1" xfId="0" applyNumberFormat="1" applyFon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5" fontId="0" fillId="16" borderId="1" xfId="0" applyNumberFormat="1" applyFill="1" applyBorder="1" applyAlignment="1">
      <alignment horizontal="center" vertical="center"/>
    </xf>
    <xf numFmtId="165" fontId="0" fillId="17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0" fontId="20" fillId="18" borderId="1" xfId="0" applyFont="1" applyFill="1" applyBorder="1" applyAlignment="1">
      <alignment horizontal="center" vertical="center"/>
    </xf>
    <xf numFmtId="0" fontId="20" fillId="17" borderId="1" xfId="0" applyFont="1" applyFill="1" applyBorder="1" applyAlignment="1">
      <alignment horizontal="center" vertical="center"/>
    </xf>
    <xf numFmtId="0" fontId="20" fillId="16" borderId="1" xfId="0" applyFont="1" applyFill="1" applyBorder="1" applyAlignment="1">
      <alignment horizontal="center" vertical="center"/>
    </xf>
    <xf numFmtId="0" fontId="21" fillId="8" borderId="1" xfId="0" applyFont="1" applyFill="1" applyBorder="1" applyAlignment="1">
      <alignment horizontal="left" vertical="top" wrapText="1"/>
    </xf>
    <xf numFmtId="0" fontId="20" fillId="8" borderId="1" xfId="0" applyFont="1" applyFill="1" applyBorder="1" applyAlignment="1">
      <alignment horizontal="left" vertical="top" wrapText="1"/>
    </xf>
    <xf numFmtId="0" fontId="22" fillId="8" borderId="1" xfId="0" applyFont="1" applyFill="1" applyBorder="1" applyAlignment="1">
      <alignment horizontal="left" vertical="top" wrapText="1"/>
    </xf>
    <xf numFmtId="0" fontId="21" fillId="19" borderId="1" xfId="0" applyFont="1" applyFill="1" applyBorder="1" applyAlignment="1">
      <alignment horizontal="left" vertical="top" wrapText="1"/>
    </xf>
    <xf numFmtId="0" fontId="20" fillId="19" borderId="1" xfId="0" applyFont="1" applyFill="1" applyBorder="1" applyAlignment="1">
      <alignment horizontal="left" vertical="top" wrapText="1"/>
    </xf>
    <xf numFmtId="0" fontId="22" fillId="19" borderId="1" xfId="0" applyFont="1" applyFill="1" applyBorder="1" applyAlignment="1">
      <alignment horizontal="left" vertical="top" wrapText="1"/>
    </xf>
    <xf numFmtId="0" fontId="2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5" fontId="7" fillId="16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165" fontId="26" fillId="13" borderId="2" xfId="0" applyNumberFormat="1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top" wrapText="1"/>
    </xf>
    <xf numFmtId="0" fontId="20" fillId="0" borderId="1" xfId="0" applyFont="1" applyBorder="1" applyAlignment="1">
      <alignment horizontal="center" vertical="top"/>
    </xf>
    <xf numFmtId="0" fontId="28" fillId="0" borderId="1" xfId="0" applyFont="1" applyBorder="1" applyAlignment="1">
      <alignment horizontal="left" vertical="top" wrapText="1"/>
    </xf>
    <xf numFmtId="0" fontId="29" fillId="0" borderId="1" xfId="0" applyFont="1" applyBorder="1" applyAlignment="1">
      <alignment horizontal="left" vertical="top" wrapText="1"/>
    </xf>
    <xf numFmtId="0" fontId="30" fillId="1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0" fillId="0" borderId="4" xfId="0" applyBorder="1"/>
    <xf numFmtId="0" fontId="4" fillId="12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5E42"/>
      <rgbColor rgb="FF800080"/>
      <rgbColor rgb="FF2980B9"/>
      <rgbColor rgb="FFBDBDBD"/>
      <rgbColor rgb="FF878787"/>
      <rgbColor rgb="FF9999FF"/>
      <rgbColor rgb="FFC0504D"/>
      <rgbColor rgb="FFFFF9C4"/>
      <rgbColor rgb="FFEBF5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F4F6F7"/>
      <rgbColor rgb="FFD8F3DC"/>
      <rgbColor rgb="FFFFF3CD"/>
      <rgbColor rgb="FFC8E6C9"/>
      <rgbColor rgb="FFFCE4E4"/>
      <rgbColor rgb="FFF9F9F9"/>
      <rgbColor rgb="FFFFCDD2"/>
      <rgbColor rgb="FF4F81BD"/>
      <rgbColor rgb="FF52B788"/>
      <rgbColor rgb="FF9BBB59"/>
      <rgbColor rgb="FFFFCC00"/>
      <rgbColor rgb="FFF39C12"/>
      <rgbColor rgb="FFE74C3C"/>
      <rgbColor rgb="FF636E72"/>
      <rgbColor rgb="FF969696"/>
      <rgbColor rgb="FF1B2A4A"/>
      <rgbColor rgb="FF40916C"/>
      <rgbColor rgb="FF1B4332"/>
      <rgbColor rgb="FF1A3C2E"/>
      <rgbColor rgb="FF993300"/>
      <rgbColor rgb="FF993366"/>
      <rgbColor rgb="FF333399"/>
      <rgbColor rgb="FF2D34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vs Costs — Y1 to Y5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5 Projection'!$C$3:$G$3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'Year 5 Projection'!$C$15:$G$15</c:f>
              <c:numCache>
                <c:formatCode>\₹#,##0;"(₹"#,##0\);\-</c:formatCode>
                <c:ptCount val="5"/>
                <c:pt idx="0">
                  <c:v>5400400</c:v>
                </c:pt>
                <c:pt idx="1">
                  <c:v>15840000</c:v>
                </c:pt>
                <c:pt idx="2">
                  <c:v>38230000</c:v>
                </c:pt>
                <c:pt idx="3">
                  <c:v>91912000</c:v>
                </c:pt>
                <c:pt idx="4">
                  <c:v>192390000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F-3646-BE30-A901DAF1D119}"/>
            </c:ext>
          </c:extLst>
        </c:ser>
        <c:ser>
          <c:idx val="1"/>
          <c:order val="1"/>
          <c:tx>
            <c:v>Total Costs</c:v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5 Projection'!$C$3:$G$3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'Year 5 Projection'!$C$23:$G$23</c:f>
              <c:numCache>
                <c:formatCode>\₹#,##0;"(₹"#,##0\);\-</c:formatCode>
                <c:ptCount val="5"/>
                <c:pt idx="0">
                  <c:v>6060000</c:v>
                </c:pt>
                <c:pt idx="1">
                  <c:v>11700000</c:v>
                </c:pt>
                <c:pt idx="2">
                  <c:v>21540000</c:v>
                </c:pt>
                <c:pt idx="3">
                  <c:v>37800000</c:v>
                </c:pt>
                <c:pt idx="4">
                  <c:v>54600000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F-3646-BE30-A901DAF1D119}"/>
            </c:ext>
          </c:extLst>
        </c:ser>
        <c:ser>
          <c:idx val="2"/>
          <c:order val="2"/>
          <c:tx>
            <c:v>Gross Profit</c:v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5 Projection'!$C$3:$G$3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'Year 5 Projection'!$C$25:$G$25</c:f>
              <c:numCache>
                <c:formatCode>\₹#,##0;"(₹"#,##0\);\-</c:formatCode>
                <c:ptCount val="5"/>
                <c:pt idx="0">
                  <c:v>-659600</c:v>
                </c:pt>
                <c:pt idx="1">
                  <c:v>4140000</c:v>
                </c:pt>
                <c:pt idx="2">
                  <c:v>16690000</c:v>
                </c:pt>
                <c:pt idx="3">
                  <c:v>54112000</c:v>
                </c:pt>
                <c:pt idx="4">
                  <c:v>137790000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F-3646-BE30-A901DAF1D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98132"/>
        <c:axId val="19672480"/>
      </c:barChart>
      <c:catAx>
        <c:axId val="7198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672480"/>
        <c:crosses val="autoZero"/>
        <c:auto val="1"/>
        <c:lblAlgn val="ctr"/>
        <c:lblOffset val="100"/>
        <c:noMultiLvlLbl val="0"/>
      </c:catAx>
      <c:valAx>
        <c:axId val="19672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INR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981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5</xdr:col>
      <xdr:colOff>204120</xdr:colOff>
      <xdr:row>53</xdr:row>
      <xdr:rowOff>126720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o.org/3/i1757e/i1757e.pdf" TargetMode="External"/><Relationship Id="rId13" Type="http://schemas.openxmlformats.org/officeDocument/2006/relationships/hyperlink" Target="https://www.rbi.org.in/Scripts/ReferenceRateArchive.aspx" TargetMode="External"/><Relationship Id="rId3" Type="http://schemas.openxmlformats.org/officeDocument/2006/relationships/hyperlink" Target="https://www.ecosystemmarketplace.com/publications/state-of-voluntary-carbon-markets-2023/" TargetMode="External"/><Relationship Id="rId7" Type="http://schemas.openxmlformats.org/officeDocument/2006/relationships/hyperlink" Target="https://carbonpricingdashboard.worldbank.org/" TargetMode="External"/><Relationship Id="rId12" Type="http://schemas.openxmlformats.org/officeDocument/2006/relationships/hyperlink" Target="https://www.varaha.earth/" TargetMode="External"/><Relationship Id="rId2" Type="http://schemas.openxmlformats.org/officeDocument/2006/relationships/hyperlink" Target="https://www.ipcc-nggip.iges.or.jp/public/2006gl/vol4.html" TargetMode="External"/><Relationship Id="rId1" Type="http://schemas.openxmlformats.org/officeDocument/2006/relationships/hyperlink" Target="https://fsi.nic.in/isfr2023" TargetMode="External"/><Relationship Id="rId6" Type="http://schemas.openxmlformats.org/officeDocument/2006/relationships/hyperlink" Target="https://www.ecosystemmarketplace.com/carbon-markets/" TargetMode="External"/><Relationship Id="rId11" Type="http://schemas.openxmlformats.org/officeDocument/2006/relationships/hyperlink" Target="https://www.ekienergy.org/investor-relations/annual-reports/" TargetMode="External"/><Relationship Id="rId5" Type="http://schemas.openxmlformats.org/officeDocument/2006/relationships/hyperlink" Target="https://verra.org/programs/verified-carbon-standard/project-registration/" TargetMode="External"/><Relationship Id="rId10" Type="http://schemas.openxmlformats.org/officeDocument/2006/relationships/hyperlink" Target="https://beeindia.gov.in/en/schemes/carbon-credit-trading-scheme-ccts" TargetMode="External"/><Relationship Id="rId4" Type="http://schemas.openxmlformats.org/officeDocument/2006/relationships/hyperlink" Target="https://www.southpole.com/publications/carbon-project-development" TargetMode="External"/><Relationship Id="rId9" Type="http://schemas.openxmlformats.org/officeDocument/2006/relationships/hyperlink" Target="https://tribal.gov.in/writereaddata/Portal/Images/AnnualReport_MoTA_2022-2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0"/>
  <sheetViews>
    <sheetView showGridLines="0" tabSelected="1" zoomScale="20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:F9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6" width="22" customWidth="1"/>
    <col min="7" max="7" width="3" customWidth="1"/>
  </cols>
  <sheetData>
    <row r="1" spans="2:6" ht="36" customHeight="1" x14ac:dyDescent="0.2">
      <c r="B1" s="14" t="s">
        <v>0</v>
      </c>
      <c r="C1" s="14"/>
      <c r="D1" s="14"/>
      <c r="E1" s="14"/>
      <c r="F1" s="14"/>
    </row>
    <row r="2" spans="2:6" ht="15" customHeight="1" x14ac:dyDescent="0.2">
      <c r="B2" s="13" t="s">
        <v>1</v>
      </c>
      <c r="C2" s="13"/>
      <c r="D2" s="13"/>
      <c r="E2" s="13"/>
      <c r="F2" s="13"/>
    </row>
    <row r="3" spans="2:6" ht="18" customHeight="1" x14ac:dyDescent="0.2">
      <c r="B3" s="12" t="s">
        <v>2</v>
      </c>
      <c r="C3" s="12"/>
      <c r="D3" s="12"/>
      <c r="E3" s="12"/>
      <c r="F3" s="12"/>
    </row>
    <row r="5" spans="2:6" ht="15" customHeight="1" x14ac:dyDescent="0.2">
      <c r="B5" s="11" t="s">
        <v>3</v>
      </c>
      <c r="C5" s="11"/>
      <c r="D5" s="11"/>
      <c r="E5" s="11"/>
      <c r="F5" s="11"/>
    </row>
    <row r="6" spans="2:6" ht="15" customHeight="1" x14ac:dyDescent="0.2">
      <c r="B6" s="15" t="s">
        <v>4</v>
      </c>
      <c r="C6" s="10" t="s">
        <v>5</v>
      </c>
      <c r="D6" s="10"/>
      <c r="E6" s="10"/>
      <c r="F6" s="10"/>
    </row>
    <row r="7" spans="2:6" ht="15" customHeight="1" x14ac:dyDescent="0.2">
      <c r="B7" s="15" t="s">
        <v>6</v>
      </c>
      <c r="C7" s="113" t="s">
        <v>591</v>
      </c>
      <c r="D7" s="9"/>
      <c r="E7" s="9"/>
      <c r="F7" s="9"/>
    </row>
    <row r="8" spans="2:6" ht="15" customHeight="1" x14ac:dyDescent="0.2">
      <c r="B8" s="15" t="s">
        <v>7</v>
      </c>
      <c r="C8" s="9" t="s">
        <v>8</v>
      </c>
      <c r="D8" s="9"/>
      <c r="E8" s="9"/>
      <c r="F8" s="9"/>
    </row>
    <row r="9" spans="2:6" ht="15" customHeight="1" x14ac:dyDescent="0.2">
      <c r="B9" s="15" t="s">
        <v>9</v>
      </c>
      <c r="C9" s="9" t="s">
        <v>10</v>
      </c>
      <c r="D9" s="9"/>
      <c r="E9" s="9"/>
      <c r="F9" s="9"/>
    </row>
    <row r="10" spans="2:6" ht="15" customHeight="1" x14ac:dyDescent="0.2">
      <c r="B10" s="15" t="s">
        <v>11</v>
      </c>
      <c r="C10" s="9" t="s">
        <v>12</v>
      </c>
      <c r="D10" s="9"/>
      <c r="E10" s="9"/>
      <c r="F10" s="9"/>
    </row>
    <row r="11" spans="2:6" ht="15" customHeight="1" x14ac:dyDescent="0.2">
      <c r="B11" s="15" t="s">
        <v>13</v>
      </c>
      <c r="C11" s="9" t="s">
        <v>14</v>
      </c>
      <c r="D11" s="9"/>
      <c r="E11" s="9"/>
      <c r="F11" s="9"/>
    </row>
    <row r="12" spans="2:6" ht="15" customHeight="1" x14ac:dyDescent="0.2">
      <c r="B12" s="15" t="s">
        <v>15</v>
      </c>
      <c r="C12" s="9" t="s">
        <v>16</v>
      </c>
      <c r="D12" s="9"/>
      <c r="E12" s="9"/>
      <c r="F12" s="9"/>
    </row>
    <row r="14" spans="2:6" ht="15" customHeight="1" x14ac:dyDescent="0.2">
      <c r="B14" s="11" t="s">
        <v>17</v>
      </c>
      <c r="C14" s="11"/>
      <c r="D14" s="11"/>
      <c r="E14" s="11"/>
      <c r="F14" s="11"/>
    </row>
    <row r="15" spans="2:6" ht="15" customHeight="1" x14ac:dyDescent="0.2">
      <c r="B15" s="16" t="s">
        <v>18</v>
      </c>
      <c r="C15" s="16" t="s">
        <v>19</v>
      </c>
      <c r="D15" s="16" t="s">
        <v>20</v>
      </c>
      <c r="E15" s="16" t="s">
        <v>21</v>
      </c>
      <c r="F15" s="16" t="s">
        <v>22</v>
      </c>
    </row>
    <row r="16" spans="2:6" ht="15" customHeight="1" x14ac:dyDescent="0.2">
      <c r="B16" s="17" t="s">
        <v>23</v>
      </c>
      <c r="C16" s="18">
        <v>12</v>
      </c>
      <c r="D16" s="18">
        <v>60</v>
      </c>
      <c r="E16" s="18">
        <v>200</v>
      </c>
      <c r="F16" s="19" t="s">
        <v>24</v>
      </c>
    </row>
    <row r="17" spans="2:6" ht="15" customHeight="1" x14ac:dyDescent="0.2">
      <c r="B17" s="17" t="s">
        <v>25</v>
      </c>
      <c r="C17" s="20">
        <f>'Year 1 Projection'!O5</f>
        <v>804</v>
      </c>
      <c r="D17" s="21" t="s">
        <v>26</v>
      </c>
      <c r="E17" s="21" t="s">
        <v>26</v>
      </c>
      <c r="F17" s="19" t="s">
        <v>27</v>
      </c>
    </row>
    <row r="18" spans="2:6" ht="15" customHeight="1" x14ac:dyDescent="0.2">
      <c r="B18" s="17" t="s">
        <v>28</v>
      </c>
      <c r="C18" s="22">
        <f>'Year 1 Projection'!O12</f>
        <v>3007828</v>
      </c>
      <c r="D18" s="21" t="s">
        <v>29</v>
      </c>
      <c r="E18" s="21" t="s">
        <v>30</v>
      </c>
      <c r="F18" s="19" t="s">
        <v>31</v>
      </c>
    </row>
    <row r="19" spans="2:6" ht="15" customHeight="1" x14ac:dyDescent="0.2">
      <c r="B19" s="17" t="s">
        <v>32</v>
      </c>
      <c r="C19" s="22">
        <f>'Year 1 Projection'!O8</f>
        <v>1693224</v>
      </c>
      <c r="D19" s="21" t="s">
        <v>29</v>
      </c>
      <c r="E19" s="21" t="s">
        <v>30</v>
      </c>
      <c r="F19" s="19" t="s">
        <v>31</v>
      </c>
    </row>
    <row r="20" spans="2:6" ht="15" customHeight="1" x14ac:dyDescent="0.2">
      <c r="B20" s="17" t="s">
        <v>33</v>
      </c>
      <c r="C20" s="22">
        <f>'Year 1 Projection'!O22</f>
        <v>-2662172</v>
      </c>
      <c r="D20" s="21" t="s">
        <v>29</v>
      </c>
      <c r="E20" s="21" t="s">
        <v>30</v>
      </c>
      <c r="F20" s="19" t="s">
        <v>31</v>
      </c>
    </row>
    <row r="21" spans="2:6" ht="15" customHeight="1" x14ac:dyDescent="0.2">
      <c r="B21" s="17" t="s">
        <v>34</v>
      </c>
      <c r="C21" s="22">
        <f>'Credit Pricing'!D12</f>
        <v>1771200.0000000002</v>
      </c>
      <c r="D21" s="21" t="s">
        <v>29</v>
      </c>
      <c r="E21" s="21" t="s">
        <v>30</v>
      </c>
      <c r="F21" s="19" t="s">
        <v>31</v>
      </c>
    </row>
    <row r="24" spans="2:6" ht="15" customHeight="1" x14ac:dyDescent="0.2">
      <c r="B24" s="11" t="s">
        <v>35</v>
      </c>
      <c r="C24" s="11"/>
      <c r="D24" s="11"/>
      <c r="E24" s="11"/>
      <c r="F24" s="11"/>
    </row>
    <row r="25" spans="2:6" ht="15" customHeight="1" x14ac:dyDescent="0.2">
      <c r="B25" s="16" t="s">
        <v>36</v>
      </c>
      <c r="C25" s="16" t="s">
        <v>19</v>
      </c>
      <c r="D25" s="16" t="s">
        <v>20</v>
      </c>
      <c r="E25" s="16" t="s">
        <v>21</v>
      </c>
      <c r="F25" s="16" t="s">
        <v>37</v>
      </c>
    </row>
    <row r="26" spans="2:6" ht="21.75" customHeight="1" x14ac:dyDescent="0.2">
      <c r="B26" s="17" t="s">
        <v>38</v>
      </c>
      <c r="C26" s="23" t="s">
        <v>39</v>
      </c>
      <c r="D26" s="23" t="s">
        <v>40</v>
      </c>
      <c r="E26" s="23" t="s">
        <v>41</v>
      </c>
      <c r="F26" s="24" t="s">
        <v>42</v>
      </c>
    </row>
    <row r="27" spans="2:6" ht="15" customHeight="1" x14ac:dyDescent="0.2">
      <c r="B27" s="17" t="s">
        <v>43</v>
      </c>
      <c r="C27" s="23" t="s">
        <v>44</v>
      </c>
      <c r="D27" s="23" t="s">
        <v>45</v>
      </c>
      <c r="E27" s="23" t="s">
        <v>46</v>
      </c>
      <c r="F27" s="24" t="s">
        <v>47</v>
      </c>
    </row>
    <row r="28" spans="2:6" ht="15" customHeight="1" x14ac:dyDescent="0.2">
      <c r="B28" s="17" t="s">
        <v>48</v>
      </c>
      <c r="C28" s="23" t="s">
        <v>49</v>
      </c>
      <c r="D28" s="23" t="s">
        <v>50</v>
      </c>
      <c r="E28" s="23" t="s">
        <v>51</v>
      </c>
      <c r="F28" s="24" t="s">
        <v>52</v>
      </c>
    </row>
    <row r="29" spans="2:6" ht="15" customHeight="1" x14ac:dyDescent="0.2">
      <c r="B29" s="17" t="s">
        <v>53</v>
      </c>
      <c r="C29" s="23" t="s">
        <v>54</v>
      </c>
      <c r="D29" s="23" t="s">
        <v>55</v>
      </c>
      <c r="E29" s="23" t="s">
        <v>56</v>
      </c>
      <c r="F29" s="24" t="s">
        <v>57</v>
      </c>
    </row>
    <row r="30" spans="2:6" ht="15" customHeight="1" x14ac:dyDescent="0.2">
      <c r="B30" s="25" t="s">
        <v>58</v>
      </c>
      <c r="C30" s="26" t="s">
        <v>59</v>
      </c>
      <c r="D30" s="26" t="s">
        <v>60</v>
      </c>
      <c r="E30" s="26" t="s">
        <v>61</v>
      </c>
      <c r="F30" s="24" t="s">
        <v>62</v>
      </c>
    </row>
  </sheetData>
  <mergeCells count="13">
    <mergeCell ref="C12:F12"/>
    <mergeCell ref="B14:F14"/>
    <mergeCell ref="B24:F24"/>
    <mergeCell ref="C7:F7"/>
    <mergeCell ref="C8:F8"/>
    <mergeCell ref="C9:F9"/>
    <mergeCell ref="C10:F10"/>
    <mergeCell ref="C11:F11"/>
    <mergeCell ref="B1:F1"/>
    <mergeCell ref="B2:F2"/>
    <mergeCell ref="B3:F3"/>
    <mergeCell ref="B5:F5"/>
    <mergeCell ref="C6:F6"/>
  </mergeCells>
  <pageMargins left="0.75" right="0.75" top="1" bottom="1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1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3" width="18" customWidth="1"/>
    <col min="4" max="4" width="14" customWidth="1"/>
    <col min="5" max="5" width="16" customWidth="1"/>
    <col min="6" max="6" width="22" customWidth="1"/>
    <col min="7" max="7" width="28" customWidth="1"/>
  </cols>
  <sheetData>
    <row r="1" spans="2:7" ht="30" customHeight="1" x14ac:dyDescent="0.2">
      <c r="B1" s="8" t="s">
        <v>63</v>
      </c>
      <c r="C1" s="8"/>
      <c r="D1" s="8"/>
      <c r="E1" s="8"/>
      <c r="F1" s="8"/>
      <c r="G1" s="8"/>
    </row>
    <row r="2" spans="2:7" ht="30" customHeight="1" x14ac:dyDescent="0.2">
      <c r="B2" s="7" t="s">
        <v>64</v>
      </c>
      <c r="C2" s="7"/>
      <c r="D2" s="7"/>
      <c r="E2" s="7"/>
      <c r="F2" s="7"/>
      <c r="G2" s="7"/>
    </row>
    <row r="3" spans="2:7" ht="23.25" customHeight="1" x14ac:dyDescent="0.2">
      <c r="B3" s="15" t="s">
        <v>65</v>
      </c>
      <c r="C3" s="27">
        <v>83</v>
      </c>
      <c r="D3" s="6" t="s">
        <v>66</v>
      </c>
      <c r="E3" s="6"/>
      <c r="F3" s="6"/>
      <c r="G3" s="6"/>
    </row>
    <row r="5" spans="2:7" ht="15" customHeight="1" x14ac:dyDescent="0.2">
      <c r="B5" s="28" t="s">
        <v>67</v>
      </c>
      <c r="C5" s="28" t="s">
        <v>68</v>
      </c>
      <c r="D5" s="28" t="s">
        <v>69</v>
      </c>
      <c r="E5" s="28" t="s">
        <v>70</v>
      </c>
      <c r="F5" s="28" t="s">
        <v>71</v>
      </c>
      <c r="G5" s="28" t="s">
        <v>72</v>
      </c>
    </row>
    <row r="6" spans="2:7" ht="27.75" customHeight="1" x14ac:dyDescent="0.2">
      <c r="B6" s="17" t="s">
        <v>73</v>
      </c>
      <c r="C6" s="29">
        <v>415000</v>
      </c>
      <c r="D6" s="30">
        <f t="shared" ref="D6:D13" si="0">C7/$C$3</f>
        <v>6987.9518072289156</v>
      </c>
      <c r="E6" s="31" t="s">
        <v>74</v>
      </c>
      <c r="F6" s="32" t="s">
        <v>75</v>
      </c>
      <c r="G6" s="24" t="s">
        <v>76</v>
      </c>
    </row>
    <row r="7" spans="2:7" ht="27.75" customHeight="1" x14ac:dyDescent="0.2">
      <c r="B7" s="17" t="s">
        <v>77</v>
      </c>
      <c r="C7" s="29">
        <v>580000</v>
      </c>
      <c r="D7" s="30">
        <f t="shared" si="0"/>
        <v>40000</v>
      </c>
      <c r="E7" s="31" t="s">
        <v>78</v>
      </c>
      <c r="F7" s="32" t="s">
        <v>75</v>
      </c>
      <c r="G7" s="24" t="s">
        <v>79</v>
      </c>
    </row>
    <row r="8" spans="2:7" ht="27.75" customHeight="1" x14ac:dyDescent="0.2">
      <c r="B8" s="17" t="s">
        <v>80</v>
      </c>
      <c r="C8" s="29">
        <v>3320000</v>
      </c>
      <c r="D8" s="30">
        <f t="shared" si="0"/>
        <v>30000</v>
      </c>
      <c r="E8" s="31" t="s">
        <v>81</v>
      </c>
      <c r="F8" s="33" t="s">
        <v>82</v>
      </c>
      <c r="G8" s="24" t="s">
        <v>83</v>
      </c>
    </row>
    <row r="9" spans="2:7" ht="27.75" customHeight="1" x14ac:dyDescent="0.2">
      <c r="B9" s="17" t="s">
        <v>84</v>
      </c>
      <c r="C9" s="29">
        <v>2490000</v>
      </c>
      <c r="D9" s="30">
        <f t="shared" si="0"/>
        <v>5000</v>
      </c>
      <c r="E9" s="31" t="s">
        <v>85</v>
      </c>
      <c r="F9" s="33" t="s">
        <v>82</v>
      </c>
      <c r="G9" s="24" t="s">
        <v>86</v>
      </c>
    </row>
    <row r="10" spans="2:7" ht="27.75" customHeight="1" x14ac:dyDescent="0.2">
      <c r="B10" s="17" t="s">
        <v>87</v>
      </c>
      <c r="C10" s="29">
        <v>415000</v>
      </c>
      <c r="D10" s="30">
        <f t="shared" si="0"/>
        <v>10000</v>
      </c>
      <c r="E10" s="31" t="s">
        <v>88</v>
      </c>
      <c r="F10" s="33" t="s">
        <v>82</v>
      </c>
      <c r="G10" s="24" t="s">
        <v>89</v>
      </c>
    </row>
    <row r="11" spans="2:7" ht="27.75" customHeight="1" x14ac:dyDescent="0.2">
      <c r="B11" s="17" t="s">
        <v>90</v>
      </c>
      <c r="C11" s="29">
        <v>830000</v>
      </c>
      <c r="D11" s="30">
        <f t="shared" si="0"/>
        <v>11987.951807228916</v>
      </c>
      <c r="E11" s="31" t="s">
        <v>91</v>
      </c>
      <c r="F11" s="32" t="s">
        <v>75</v>
      </c>
      <c r="G11" s="24" t="s">
        <v>92</v>
      </c>
    </row>
    <row r="12" spans="2:7" ht="27.75" customHeight="1" x14ac:dyDescent="0.2">
      <c r="B12" s="17" t="s">
        <v>93</v>
      </c>
      <c r="C12" s="29">
        <v>995000</v>
      </c>
      <c r="D12" s="30">
        <f t="shared" si="0"/>
        <v>15000</v>
      </c>
      <c r="E12" s="31" t="s">
        <v>91</v>
      </c>
      <c r="F12" s="32" t="s">
        <v>75</v>
      </c>
      <c r="G12" s="24" t="s">
        <v>94</v>
      </c>
    </row>
    <row r="13" spans="2:7" ht="27.75" customHeight="1" x14ac:dyDescent="0.2">
      <c r="B13" s="17" t="s">
        <v>95</v>
      </c>
      <c r="C13" s="29">
        <v>1245000</v>
      </c>
      <c r="D13" s="30">
        <f t="shared" si="0"/>
        <v>11897.590361445784</v>
      </c>
      <c r="E13" s="31" t="s">
        <v>91</v>
      </c>
      <c r="F13" s="33" t="s">
        <v>82</v>
      </c>
      <c r="G13" s="24" t="s">
        <v>96</v>
      </c>
    </row>
    <row r="14" spans="2:7" ht="27.75" customHeight="1" x14ac:dyDescent="0.2">
      <c r="B14" s="17" t="s">
        <v>97</v>
      </c>
      <c r="C14" s="34">
        <f>SUM(C7:C13)*0.1</f>
        <v>987500</v>
      </c>
      <c r="D14" s="30">
        <f>C14/$C$3</f>
        <v>11897.590361445784</v>
      </c>
      <c r="E14" s="31" t="s">
        <v>98</v>
      </c>
      <c r="F14" s="32" t="s">
        <v>75</v>
      </c>
      <c r="G14" s="24" t="s">
        <v>99</v>
      </c>
    </row>
    <row r="15" spans="2:7" ht="23.25" customHeight="1" x14ac:dyDescent="0.2">
      <c r="B15" s="25" t="s">
        <v>100</v>
      </c>
      <c r="C15" s="35">
        <f>SUM(C7:C14)</f>
        <v>10862500</v>
      </c>
      <c r="D15" s="36">
        <f>C15/$C$3</f>
        <v>130873.49397590362</v>
      </c>
      <c r="E15" s="37" t="s">
        <v>101</v>
      </c>
      <c r="F15" s="38"/>
      <c r="G15" s="38"/>
    </row>
    <row r="17" spans="2:7" ht="15" customHeight="1" x14ac:dyDescent="0.2">
      <c r="B17" s="5" t="s">
        <v>102</v>
      </c>
      <c r="C17" s="5"/>
      <c r="D17" s="5"/>
      <c r="E17" s="5"/>
      <c r="F17" s="5"/>
      <c r="G17" s="5"/>
    </row>
    <row r="18" spans="2:7" ht="45" customHeight="1" x14ac:dyDescent="0.2">
      <c r="B18" s="4" t="s">
        <v>103</v>
      </c>
      <c r="C18" s="4"/>
      <c r="D18" s="4"/>
      <c r="E18" s="4"/>
      <c r="F18" s="4"/>
      <c r="G18" s="4"/>
    </row>
  </sheetData>
  <mergeCells count="5">
    <mergeCell ref="B1:G1"/>
    <mergeCell ref="B2:G2"/>
    <mergeCell ref="D3:G3"/>
    <mergeCell ref="B17:G17"/>
    <mergeCell ref="B18:G18"/>
  </mergeCells>
  <pageMargins left="0.75" right="0.75" top="1" bottom="1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4" width="22" customWidth="1"/>
    <col min="5" max="6" width="18" customWidth="1"/>
    <col min="7" max="7" width="25" customWidth="1"/>
  </cols>
  <sheetData>
    <row r="1" spans="2:7" ht="30" customHeight="1" x14ac:dyDescent="0.2">
      <c r="B1" s="8" t="s">
        <v>104</v>
      </c>
      <c r="C1" s="8"/>
      <c r="D1" s="8"/>
      <c r="E1" s="8"/>
      <c r="F1" s="8"/>
      <c r="G1" s="8"/>
    </row>
    <row r="3" spans="2:7" ht="15" customHeight="1" x14ac:dyDescent="0.2">
      <c r="B3" s="28" t="s">
        <v>105</v>
      </c>
      <c r="C3" s="28" t="s">
        <v>106</v>
      </c>
      <c r="D3" s="28" t="s">
        <v>5</v>
      </c>
      <c r="E3" s="28" t="s">
        <v>107</v>
      </c>
      <c r="F3" s="28" t="s">
        <v>108</v>
      </c>
      <c r="G3" s="28" t="s">
        <v>109</v>
      </c>
    </row>
    <row r="4" spans="2:7" ht="30" customHeight="1" x14ac:dyDescent="0.2">
      <c r="B4" s="17" t="s">
        <v>110</v>
      </c>
      <c r="C4" s="29">
        <v>415000</v>
      </c>
      <c r="D4" s="29">
        <v>83000</v>
      </c>
      <c r="E4" s="39">
        <f>(C5-D5)/C5</f>
        <v>0.8</v>
      </c>
      <c r="F4" s="31" t="s">
        <v>111</v>
      </c>
      <c r="G4" s="24" t="s">
        <v>112</v>
      </c>
    </row>
    <row r="5" spans="2:7" ht="30" customHeight="1" x14ac:dyDescent="0.2">
      <c r="B5" s="17" t="s">
        <v>113</v>
      </c>
      <c r="C5" s="29">
        <v>580000</v>
      </c>
      <c r="D5" s="29">
        <v>116000</v>
      </c>
      <c r="E5" s="39">
        <f>(C6-D6)/C6</f>
        <v>0.85</v>
      </c>
      <c r="F5" s="31" t="s">
        <v>114</v>
      </c>
      <c r="G5" s="24" t="s">
        <v>115</v>
      </c>
    </row>
    <row r="6" spans="2:7" ht="30" customHeight="1" x14ac:dyDescent="0.2">
      <c r="B6" s="17" t="s">
        <v>116</v>
      </c>
      <c r="C6" s="29">
        <v>3320000</v>
      </c>
      <c r="D6" s="29">
        <v>498000</v>
      </c>
      <c r="E6" s="39">
        <f>(C7-D7)/C7</f>
        <v>0.6</v>
      </c>
      <c r="F6" s="31" t="s">
        <v>117</v>
      </c>
      <c r="G6" s="24" t="s">
        <v>118</v>
      </c>
    </row>
    <row r="7" spans="2:7" ht="30" customHeight="1" x14ac:dyDescent="0.2">
      <c r="B7" s="17" t="s">
        <v>119</v>
      </c>
      <c r="C7" s="29">
        <v>2490000</v>
      </c>
      <c r="D7" s="29">
        <v>996000</v>
      </c>
      <c r="E7" s="39">
        <f>(C8-D8)/C8</f>
        <v>0</v>
      </c>
      <c r="F7" s="31" t="s">
        <v>120</v>
      </c>
      <c r="G7" s="24" t="s">
        <v>121</v>
      </c>
    </row>
    <row r="8" spans="2:7" ht="30" customHeight="1" x14ac:dyDescent="0.2">
      <c r="B8" s="17" t="s">
        <v>122</v>
      </c>
      <c r="C8" s="29">
        <v>415000</v>
      </c>
      <c r="D8" s="29">
        <v>415000</v>
      </c>
      <c r="E8" s="39">
        <f>0</f>
        <v>0</v>
      </c>
      <c r="F8" s="31" t="s">
        <v>123</v>
      </c>
      <c r="G8" s="24" t="s">
        <v>124</v>
      </c>
    </row>
    <row r="9" spans="2:7" ht="30" customHeight="1" x14ac:dyDescent="0.2">
      <c r="B9" s="17" t="s">
        <v>125</v>
      </c>
      <c r="C9" s="29">
        <v>830000</v>
      </c>
      <c r="D9" s="29">
        <v>166000</v>
      </c>
      <c r="E9" s="39">
        <f>(C10-D10)/C10</f>
        <v>0.85</v>
      </c>
      <c r="F9" s="31" t="s">
        <v>126</v>
      </c>
      <c r="G9" s="24" t="s">
        <v>127</v>
      </c>
    </row>
    <row r="10" spans="2:7" ht="30" customHeight="1" x14ac:dyDescent="0.2">
      <c r="B10" s="17" t="s">
        <v>128</v>
      </c>
      <c r="C10" s="29">
        <v>995000</v>
      </c>
      <c r="D10" s="29">
        <v>149250</v>
      </c>
      <c r="E10" s="39">
        <f>(C11-D11)/C11</f>
        <v>0.50120481927710847</v>
      </c>
      <c r="F10" s="31" t="s">
        <v>129</v>
      </c>
      <c r="G10" s="24" t="s">
        <v>130</v>
      </c>
    </row>
    <row r="11" spans="2:7" ht="30" customHeight="1" x14ac:dyDescent="0.2">
      <c r="B11" s="17" t="s">
        <v>131</v>
      </c>
      <c r="C11" s="29">
        <v>1245000</v>
      </c>
      <c r="D11" s="29">
        <v>621000</v>
      </c>
      <c r="E11" s="39">
        <f>(C12-D12)/C12</f>
        <v>0.70415451895043735</v>
      </c>
      <c r="F11" s="31" t="s">
        <v>132</v>
      </c>
      <c r="G11" s="24" t="s">
        <v>133</v>
      </c>
    </row>
    <row r="12" spans="2:7" ht="30" customHeight="1" x14ac:dyDescent="0.2">
      <c r="B12" s="17" t="s">
        <v>134</v>
      </c>
      <c r="C12" s="34">
        <f>SUM(C4:C11)*0.1</f>
        <v>1029000</v>
      </c>
      <c r="D12" s="34">
        <f>SUM(D4:D11)*0.1</f>
        <v>304425</v>
      </c>
      <c r="E12" s="39">
        <f>IFERROR((C12-D12)/C12,0)</f>
        <v>0.70415451895043735</v>
      </c>
      <c r="F12" s="31" t="s">
        <v>135</v>
      </c>
      <c r="G12" s="24" t="s">
        <v>136</v>
      </c>
    </row>
    <row r="13" spans="2:7" ht="15" customHeight="1" x14ac:dyDescent="0.2">
      <c r="B13" s="25" t="s">
        <v>137</v>
      </c>
      <c r="C13" s="40">
        <f>SUM(C4:C12)</f>
        <v>11319000</v>
      </c>
      <c r="D13" s="40">
        <f>SUM(D4:D12)</f>
        <v>3348675</v>
      </c>
      <c r="E13" s="41">
        <f>IFERROR((C13-D13)/C13,0)</f>
        <v>0.70415451895043735</v>
      </c>
      <c r="F13" s="37" t="s">
        <v>138</v>
      </c>
    </row>
    <row r="15" spans="2:7" ht="15" customHeight="1" x14ac:dyDescent="0.2">
      <c r="B15" s="11" t="s">
        <v>139</v>
      </c>
      <c r="C15" s="11"/>
      <c r="D15" s="11"/>
      <c r="E15" s="11"/>
      <c r="F15" s="11"/>
      <c r="G15" s="11"/>
    </row>
    <row r="16" spans="2:7" ht="23.25" customHeight="1" x14ac:dyDescent="0.2">
      <c r="B16" s="15" t="s">
        <v>140</v>
      </c>
      <c r="C16" s="42">
        <f>(C13-D13)/C13</f>
        <v>0.70415451895043735</v>
      </c>
      <c r="D16" s="3"/>
      <c r="E16" s="3"/>
      <c r="F16" s="3"/>
      <c r="G16" s="3"/>
    </row>
    <row r="17" spans="2:7" ht="15" customHeight="1" x14ac:dyDescent="0.2">
      <c r="B17" s="15" t="s">
        <v>141</v>
      </c>
      <c r="C17" s="43" t="s">
        <v>142</v>
      </c>
      <c r="D17" s="3"/>
      <c r="E17" s="3"/>
      <c r="F17" s="3"/>
      <c r="G17" s="3"/>
    </row>
    <row r="18" spans="2:7" ht="23.25" customHeight="1" x14ac:dyDescent="0.2">
      <c r="B18" s="15" t="s">
        <v>143</v>
      </c>
      <c r="C18" s="44" t="s">
        <v>144</v>
      </c>
      <c r="D18" s="3"/>
      <c r="E18" s="3"/>
      <c r="F18" s="3"/>
      <c r="G18" s="3"/>
    </row>
    <row r="19" spans="2:7" ht="15" customHeight="1" x14ac:dyDescent="0.2">
      <c r="B19" s="15" t="s">
        <v>145</v>
      </c>
      <c r="C19" s="45" t="s">
        <v>146</v>
      </c>
      <c r="D19" s="3"/>
      <c r="E19" s="3"/>
      <c r="F19" s="3"/>
      <c r="G19" s="3"/>
    </row>
    <row r="20" spans="2:7" ht="23.25" customHeight="1" x14ac:dyDescent="0.2">
      <c r="B20" s="15" t="s">
        <v>147</v>
      </c>
      <c r="C20" s="46" t="s">
        <v>148</v>
      </c>
      <c r="D20" s="3"/>
      <c r="E20" s="3"/>
      <c r="F20" s="3"/>
      <c r="G20" s="3"/>
    </row>
  </sheetData>
  <mergeCells count="7">
    <mergeCell ref="D19:G19"/>
    <mergeCell ref="D20:G20"/>
    <mergeCell ref="B1:G1"/>
    <mergeCell ref="B15:G15"/>
    <mergeCell ref="D16:G16"/>
    <mergeCell ref="D17:G17"/>
    <mergeCell ref="D18:G18"/>
  </mergeCell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1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5" width="20" customWidth="1"/>
    <col min="6" max="6" width="28" customWidth="1"/>
  </cols>
  <sheetData>
    <row r="1" spans="2:6" ht="30" customHeight="1" x14ac:dyDescent="0.2">
      <c r="B1" s="8" t="s">
        <v>149</v>
      </c>
      <c r="C1" s="8"/>
      <c r="D1" s="8"/>
      <c r="E1" s="8"/>
      <c r="F1" s="8"/>
    </row>
    <row r="2" spans="2:6" ht="24" customHeight="1" x14ac:dyDescent="0.2">
      <c r="B2" s="7" t="s">
        <v>150</v>
      </c>
      <c r="C2" s="7"/>
      <c r="D2" s="7"/>
      <c r="E2" s="7"/>
      <c r="F2" s="7"/>
    </row>
    <row r="3" spans="2:6" ht="15" customHeight="1" x14ac:dyDescent="0.2">
      <c r="B3" s="28" t="s">
        <v>151</v>
      </c>
      <c r="C3" s="28" t="s">
        <v>152</v>
      </c>
      <c r="D3" s="28" t="s">
        <v>153</v>
      </c>
      <c r="E3" s="28" t="s">
        <v>154</v>
      </c>
      <c r="F3" s="28" t="s">
        <v>155</v>
      </c>
    </row>
    <row r="4" spans="2:6" ht="24" customHeight="1" x14ac:dyDescent="0.2">
      <c r="B4" s="17" t="s">
        <v>156</v>
      </c>
      <c r="C4" s="29">
        <v>900</v>
      </c>
      <c r="D4" s="29">
        <v>1800</v>
      </c>
      <c r="E4" s="29">
        <v>3300</v>
      </c>
      <c r="F4" s="24" t="s">
        <v>157</v>
      </c>
    </row>
    <row r="5" spans="2:6" ht="24" customHeight="1" x14ac:dyDescent="0.2">
      <c r="B5" s="17" t="s">
        <v>158</v>
      </c>
      <c r="C5" s="34">
        <f>C4/83</f>
        <v>10.843373493975903</v>
      </c>
      <c r="D5" s="34">
        <f>D4/83</f>
        <v>21.686746987951807</v>
      </c>
      <c r="E5" s="34">
        <f>E4/83</f>
        <v>39.75903614457831</v>
      </c>
      <c r="F5" s="24" t="s">
        <v>159</v>
      </c>
    </row>
    <row r="6" spans="2:6" ht="24" customHeight="1" x14ac:dyDescent="0.2">
      <c r="B6" s="17" t="s">
        <v>160</v>
      </c>
      <c r="C6" s="47">
        <v>4</v>
      </c>
      <c r="D6" s="47">
        <v>6</v>
      </c>
      <c r="E6" s="47">
        <v>8</v>
      </c>
      <c r="F6" s="24" t="s">
        <v>161</v>
      </c>
    </row>
    <row r="7" spans="2:6" ht="24" customHeight="1" x14ac:dyDescent="0.2">
      <c r="B7" s="17" t="s">
        <v>162</v>
      </c>
      <c r="C7" s="48">
        <v>200</v>
      </c>
      <c r="D7" s="48">
        <v>200</v>
      </c>
      <c r="E7" s="48">
        <v>200</v>
      </c>
      <c r="F7" s="24" t="s">
        <v>163</v>
      </c>
    </row>
    <row r="8" spans="2:6" ht="24" customHeight="1" x14ac:dyDescent="0.2">
      <c r="B8" s="17" t="s">
        <v>164</v>
      </c>
      <c r="C8" s="49">
        <f>C6*C7</f>
        <v>800</v>
      </c>
      <c r="D8" s="49">
        <f>D6*D7</f>
        <v>1200</v>
      </c>
      <c r="E8" s="49">
        <f>E6*E7</f>
        <v>1600</v>
      </c>
      <c r="F8" s="24" t="s">
        <v>165</v>
      </c>
    </row>
    <row r="9" spans="2:6" ht="24" customHeight="1" x14ac:dyDescent="0.2">
      <c r="B9" s="17" t="s">
        <v>166</v>
      </c>
      <c r="C9" s="50">
        <v>0.15</v>
      </c>
      <c r="D9" s="50">
        <v>0.18</v>
      </c>
      <c r="E9" s="50">
        <v>0.2</v>
      </c>
      <c r="F9" s="24" t="s">
        <v>167</v>
      </c>
    </row>
    <row r="10" spans="2:6" ht="24" customHeight="1" x14ac:dyDescent="0.2">
      <c r="B10" s="17" t="s">
        <v>168</v>
      </c>
      <c r="C10" s="49">
        <f>C4*C8</f>
        <v>720000</v>
      </c>
      <c r="D10" s="49">
        <f>D4*D8</f>
        <v>2160000</v>
      </c>
      <c r="E10" s="49">
        <f>E4*E8</f>
        <v>5280000</v>
      </c>
      <c r="F10" s="24" t="s">
        <v>169</v>
      </c>
    </row>
    <row r="11" spans="2:6" ht="24" customHeight="1" x14ac:dyDescent="0.2">
      <c r="B11" s="17" t="s">
        <v>170</v>
      </c>
      <c r="C11" s="49">
        <f>C10*C9</f>
        <v>108000</v>
      </c>
      <c r="D11" s="49">
        <f>D10*D9</f>
        <v>388800</v>
      </c>
      <c r="E11" s="49">
        <f>E10*E9</f>
        <v>1056000</v>
      </c>
      <c r="F11" s="24" t="s">
        <v>171</v>
      </c>
    </row>
    <row r="12" spans="2:6" ht="24" customHeight="1" x14ac:dyDescent="0.2">
      <c r="B12" s="25" t="s">
        <v>172</v>
      </c>
      <c r="C12" s="51">
        <f>C10*(1-C9)</f>
        <v>612000</v>
      </c>
      <c r="D12" s="51">
        <f>D10*(1-D9)</f>
        <v>1771200.0000000002</v>
      </c>
      <c r="E12" s="51">
        <f>E10*(1-E9)</f>
        <v>4224000</v>
      </c>
      <c r="F12" s="52" t="s">
        <v>173</v>
      </c>
    </row>
    <row r="13" spans="2:6" ht="24" customHeight="1" x14ac:dyDescent="0.2">
      <c r="B13" s="17" t="s">
        <v>174</v>
      </c>
      <c r="C13" s="48">
        <v>75000</v>
      </c>
      <c r="D13" s="48">
        <v>125000</v>
      </c>
      <c r="E13" s="48">
        <v>200000</v>
      </c>
      <c r="F13" s="24" t="s">
        <v>175</v>
      </c>
    </row>
    <row r="14" spans="2:6" ht="24" customHeight="1" x14ac:dyDescent="0.2">
      <c r="B14" s="25" t="s">
        <v>176</v>
      </c>
      <c r="C14" s="35">
        <f>C11+C13</f>
        <v>183000</v>
      </c>
      <c r="D14" s="35">
        <f>D11+D13</f>
        <v>513800</v>
      </c>
      <c r="E14" s="35">
        <f>E11+E13</f>
        <v>1256000</v>
      </c>
      <c r="F14" s="52" t="s">
        <v>177</v>
      </c>
    </row>
    <row r="15" spans="2:6" ht="15" customHeight="1" x14ac:dyDescent="0.2">
      <c r="B15" s="53"/>
      <c r="C15" s="53"/>
      <c r="D15" s="53"/>
      <c r="E15" s="53"/>
      <c r="F15" s="53"/>
    </row>
    <row r="16" spans="2:6" ht="15" customHeight="1" x14ac:dyDescent="0.2">
      <c r="B16" s="53"/>
      <c r="C16" s="53"/>
      <c r="D16" s="53"/>
      <c r="E16" s="53"/>
      <c r="F16" s="53"/>
    </row>
    <row r="18" spans="2:6" ht="15" customHeight="1" x14ac:dyDescent="0.2">
      <c r="B18" s="53"/>
      <c r="C18" s="53"/>
      <c r="D18" s="53"/>
      <c r="E18" s="53"/>
      <c r="F18" s="53"/>
    </row>
  </sheetData>
  <mergeCells count="2">
    <mergeCell ref="B1:F1"/>
    <mergeCell ref="B2:F2"/>
  </mergeCells>
  <pageMargins left="0.75" right="0.75" top="1" bottom="1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2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5" customWidth="1"/>
    <col min="3" max="5" width="20" customWidth="1"/>
    <col min="6" max="6" width="25" customWidth="1"/>
  </cols>
  <sheetData>
    <row r="1" spans="2:6" ht="30" customHeight="1" x14ac:dyDescent="0.2">
      <c r="B1" s="8" t="s">
        <v>178</v>
      </c>
      <c r="C1" s="8"/>
      <c r="D1" s="8"/>
      <c r="E1" s="8"/>
      <c r="F1" s="8"/>
    </row>
    <row r="3" spans="2:6" ht="15" customHeight="1" x14ac:dyDescent="0.2">
      <c r="B3" s="11" t="s">
        <v>179</v>
      </c>
      <c r="C3" s="11"/>
      <c r="D3" s="11"/>
      <c r="E3" s="11"/>
      <c r="F3" s="11"/>
    </row>
    <row r="4" spans="2:6" ht="15" customHeight="1" x14ac:dyDescent="0.2">
      <c r="B4" s="16" t="s">
        <v>151</v>
      </c>
      <c r="C4" s="16" t="s">
        <v>180</v>
      </c>
      <c r="D4" s="16" t="s">
        <v>22</v>
      </c>
      <c r="E4" s="16" t="s">
        <v>72</v>
      </c>
    </row>
    <row r="5" spans="2:6" ht="21.75" customHeight="1" x14ac:dyDescent="0.2">
      <c r="B5" s="17" t="s">
        <v>181</v>
      </c>
      <c r="C5" s="54">
        <v>200</v>
      </c>
      <c r="D5" s="31" t="s">
        <v>182</v>
      </c>
      <c r="E5" s="2" t="s">
        <v>183</v>
      </c>
      <c r="F5" s="2"/>
    </row>
    <row r="6" spans="2:6" ht="21.75" customHeight="1" x14ac:dyDescent="0.2">
      <c r="B6" s="17" t="s">
        <v>184</v>
      </c>
      <c r="C6" s="54">
        <v>6</v>
      </c>
      <c r="D6" s="31" t="s">
        <v>185</v>
      </c>
      <c r="E6" s="2" t="s">
        <v>186</v>
      </c>
      <c r="F6" s="2"/>
    </row>
    <row r="7" spans="2:6" ht="21.75" customHeight="1" x14ac:dyDescent="0.2">
      <c r="B7" s="17" t="s">
        <v>187</v>
      </c>
      <c r="C7" s="55">
        <f>C5*C6</f>
        <v>1200</v>
      </c>
      <c r="D7" s="31" t="s">
        <v>188</v>
      </c>
      <c r="E7" s="2" t="s">
        <v>189</v>
      </c>
      <c r="F7" s="2"/>
    </row>
    <row r="8" spans="2:6" ht="21.75" customHeight="1" x14ac:dyDescent="0.2">
      <c r="B8" s="17" t="s">
        <v>190</v>
      </c>
      <c r="C8" s="56">
        <v>0.15</v>
      </c>
      <c r="D8" s="31" t="s">
        <v>191</v>
      </c>
      <c r="E8" s="2" t="s">
        <v>192</v>
      </c>
      <c r="F8" s="2"/>
    </row>
    <row r="9" spans="2:6" ht="21.75" customHeight="1" x14ac:dyDescent="0.2">
      <c r="B9" s="17" t="s">
        <v>193</v>
      </c>
      <c r="C9" s="55">
        <f>C7*(1-C8)</f>
        <v>1020</v>
      </c>
      <c r="D9" s="31" t="s">
        <v>188</v>
      </c>
      <c r="E9" s="2" t="s">
        <v>194</v>
      </c>
      <c r="F9" s="2"/>
    </row>
    <row r="10" spans="2:6" ht="21.75" customHeight="1" x14ac:dyDescent="0.2">
      <c r="B10" s="17" t="s">
        <v>195</v>
      </c>
      <c r="C10" s="57">
        <v>1800</v>
      </c>
      <c r="D10" s="31" t="s">
        <v>196</v>
      </c>
      <c r="E10" s="2" t="s">
        <v>197</v>
      </c>
      <c r="F10" s="2"/>
    </row>
    <row r="11" spans="2:6" ht="21.75" customHeight="1" x14ac:dyDescent="0.2">
      <c r="B11" s="17" t="s">
        <v>198</v>
      </c>
      <c r="C11" s="34">
        <f>C9*C10</f>
        <v>1836000</v>
      </c>
      <c r="D11" s="31" t="s">
        <v>31</v>
      </c>
      <c r="E11" s="2" t="s">
        <v>199</v>
      </c>
      <c r="F11" s="2"/>
    </row>
    <row r="13" spans="2:6" ht="15" customHeight="1" x14ac:dyDescent="0.2">
      <c r="B13" s="11" t="s">
        <v>200</v>
      </c>
      <c r="C13" s="11"/>
      <c r="D13" s="11"/>
      <c r="E13" s="11"/>
      <c r="F13" s="11"/>
    </row>
    <row r="14" spans="2:6" ht="15" customHeight="1" x14ac:dyDescent="0.2">
      <c r="B14" s="16" t="s">
        <v>201</v>
      </c>
      <c r="C14" s="16" t="s">
        <v>31</v>
      </c>
      <c r="D14" s="16" t="s">
        <v>202</v>
      </c>
      <c r="E14" s="1" t="s">
        <v>37</v>
      </c>
      <c r="F14" s="1"/>
    </row>
    <row r="15" spans="2:6" ht="15" customHeight="1" x14ac:dyDescent="0.2">
      <c r="B15" s="25" t="s">
        <v>28</v>
      </c>
      <c r="C15" s="35" t="str">
        <f>B11</f>
        <v>Gross revenue/yr (INR)</v>
      </c>
      <c r="D15" s="58" t="s">
        <v>203</v>
      </c>
      <c r="E15" s="108" t="s">
        <v>204</v>
      </c>
      <c r="F15" s="108"/>
    </row>
    <row r="16" spans="2:6" ht="15" customHeight="1" x14ac:dyDescent="0.2">
      <c r="B16" s="17" t="s">
        <v>28</v>
      </c>
      <c r="C16" s="34">
        <f>C11</f>
        <v>1836000</v>
      </c>
      <c r="D16" s="59">
        <f t="shared" ref="D16:D23" si="0">C16/$C$16</f>
        <v>1</v>
      </c>
      <c r="E16" s="108" t="s">
        <v>205</v>
      </c>
      <c r="F16" s="108"/>
    </row>
    <row r="17" spans="2:6" ht="15" customHeight="1" x14ac:dyDescent="0.2">
      <c r="B17" s="17" t="s">
        <v>206</v>
      </c>
      <c r="C17" s="57">
        <f>C16*0.18</f>
        <v>330480</v>
      </c>
      <c r="D17" s="59">
        <f t="shared" si="0"/>
        <v>0.18</v>
      </c>
      <c r="E17" s="108" t="s">
        <v>75</v>
      </c>
      <c r="F17" s="108"/>
    </row>
    <row r="18" spans="2:6" ht="15" customHeight="1" x14ac:dyDescent="0.2">
      <c r="B18" s="17" t="s">
        <v>207</v>
      </c>
      <c r="C18" s="57">
        <v>83000</v>
      </c>
      <c r="D18" s="59">
        <f t="shared" si="0"/>
        <v>4.520697167755991E-2</v>
      </c>
      <c r="E18" s="108" t="s">
        <v>208</v>
      </c>
      <c r="F18" s="108"/>
    </row>
    <row r="19" spans="2:6" ht="15" customHeight="1" x14ac:dyDescent="0.2">
      <c r="B19" s="17" t="s">
        <v>209</v>
      </c>
      <c r="C19" s="57">
        <v>41500</v>
      </c>
      <c r="D19" s="59">
        <f t="shared" si="0"/>
        <v>2.2603485838779955E-2</v>
      </c>
      <c r="E19" s="108" t="s">
        <v>75</v>
      </c>
      <c r="F19" s="108"/>
    </row>
    <row r="20" spans="2:6" ht="15" customHeight="1" x14ac:dyDescent="0.2">
      <c r="B20" s="17" t="s">
        <v>210</v>
      </c>
      <c r="C20" s="57">
        <v>25000</v>
      </c>
      <c r="D20" s="59">
        <f t="shared" si="0"/>
        <v>1.3616557734204794E-2</v>
      </c>
      <c r="E20" s="108" t="s">
        <v>75</v>
      </c>
      <c r="F20" s="108"/>
    </row>
    <row r="21" spans="2:6" ht="15" customHeight="1" x14ac:dyDescent="0.2">
      <c r="B21" s="25" t="s">
        <v>211</v>
      </c>
      <c r="C21" s="35">
        <v>62500</v>
      </c>
      <c r="D21" s="60">
        <f t="shared" si="0"/>
        <v>3.4041394335511982E-2</v>
      </c>
      <c r="E21" s="108" t="s">
        <v>212</v>
      </c>
      <c r="F21" s="108"/>
    </row>
    <row r="22" spans="2:6" ht="15" customHeight="1" x14ac:dyDescent="0.2">
      <c r="B22" s="25" t="s">
        <v>34</v>
      </c>
      <c r="C22" s="35">
        <f>C16*(1-0.18)</f>
        <v>1505520</v>
      </c>
      <c r="D22" s="60">
        <f t="shared" si="0"/>
        <v>0.82</v>
      </c>
      <c r="E22" s="108" t="s">
        <v>213</v>
      </c>
      <c r="F22" s="108"/>
    </row>
    <row r="23" spans="2:6" ht="15" customHeight="1" x14ac:dyDescent="0.2">
      <c r="B23" t="s">
        <v>214</v>
      </c>
      <c r="C23" s="61">
        <f>C17-(C18+C19+C20+C21)</f>
        <v>118480</v>
      </c>
      <c r="D23" s="62">
        <f t="shared" si="0"/>
        <v>6.4531590413943352E-2</v>
      </c>
    </row>
  </sheetData>
  <mergeCells count="19">
    <mergeCell ref="E19:F19"/>
    <mergeCell ref="E20:F20"/>
    <mergeCell ref="E21:F21"/>
    <mergeCell ref="E22:F22"/>
    <mergeCell ref="E14:F14"/>
    <mergeCell ref="E15:F15"/>
    <mergeCell ref="E16:F16"/>
    <mergeCell ref="E17:F17"/>
    <mergeCell ref="E18:F18"/>
    <mergeCell ref="E8:F8"/>
    <mergeCell ref="E9:F9"/>
    <mergeCell ref="E10:F10"/>
    <mergeCell ref="E11:F11"/>
    <mergeCell ref="B13:F13"/>
    <mergeCell ref="B1:F1"/>
    <mergeCell ref="B3:F3"/>
    <mergeCell ref="E5:F5"/>
    <mergeCell ref="E6:F6"/>
    <mergeCell ref="E7:F7"/>
  </mergeCell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1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5" width="20" customWidth="1"/>
    <col min="6" max="6" width="22" customWidth="1"/>
  </cols>
  <sheetData>
    <row r="1" spans="2:6" ht="30" customHeight="1" x14ac:dyDescent="0.2">
      <c r="B1" s="8" t="s">
        <v>215</v>
      </c>
      <c r="C1" s="8"/>
      <c r="D1" s="8"/>
      <c r="E1" s="8"/>
      <c r="F1" s="8"/>
    </row>
    <row r="3" spans="2:6" ht="15" customHeight="1" x14ac:dyDescent="0.2">
      <c r="B3" s="11" t="s">
        <v>216</v>
      </c>
      <c r="C3" s="11"/>
      <c r="D3" s="11"/>
      <c r="E3" s="11"/>
      <c r="F3" s="11"/>
    </row>
    <row r="4" spans="2:6" ht="24" customHeight="1" x14ac:dyDescent="0.2">
      <c r="B4" s="7" t="s">
        <v>217</v>
      </c>
      <c r="C4" s="7"/>
      <c r="D4" s="7"/>
      <c r="E4" s="7"/>
      <c r="F4" s="7"/>
    </row>
    <row r="5" spans="2:6" ht="15" customHeight="1" x14ac:dyDescent="0.2">
      <c r="B5" s="17" t="s">
        <v>218</v>
      </c>
      <c r="C5" s="63">
        <v>12</v>
      </c>
      <c r="E5" s="2" t="s">
        <v>219</v>
      </c>
      <c r="F5" s="2"/>
    </row>
    <row r="6" spans="2:6" ht="21.75" customHeight="1" x14ac:dyDescent="0.2">
      <c r="B6" s="17" t="s">
        <v>220</v>
      </c>
      <c r="C6" s="63">
        <v>800</v>
      </c>
      <c r="E6" s="2" t="s">
        <v>221</v>
      </c>
      <c r="F6" s="2"/>
    </row>
    <row r="7" spans="2:6" ht="15" customHeight="1" x14ac:dyDescent="0.2">
      <c r="B7" s="17" t="s">
        <v>222</v>
      </c>
      <c r="C7" s="57">
        <v>1800</v>
      </c>
      <c r="E7" s="2" t="s">
        <v>223</v>
      </c>
      <c r="F7" s="2"/>
    </row>
    <row r="8" spans="2:6" ht="15" customHeight="1" x14ac:dyDescent="0.2">
      <c r="B8" s="17" t="s">
        <v>224</v>
      </c>
      <c r="C8" s="64">
        <v>0.18</v>
      </c>
      <c r="E8" s="2" t="s">
        <v>225</v>
      </c>
      <c r="F8" s="2"/>
    </row>
    <row r="9" spans="2:6" ht="15" customHeight="1" x14ac:dyDescent="0.2">
      <c r="B9" s="17" t="s">
        <v>226</v>
      </c>
      <c r="C9" s="49">
        <f>C5*C6*C7*C8</f>
        <v>3110400</v>
      </c>
      <c r="E9" s="2" t="s">
        <v>227</v>
      </c>
      <c r="F9" s="2"/>
    </row>
    <row r="11" spans="2:6" ht="15" customHeight="1" x14ac:dyDescent="0.2">
      <c r="B11" s="11" t="s">
        <v>228</v>
      </c>
      <c r="C11" s="11"/>
      <c r="D11" s="11"/>
      <c r="E11" s="11"/>
      <c r="F11" s="11"/>
    </row>
    <row r="12" spans="2:6" ht="24" customHeight="1" x14ac:dyDescent="0.2">
      <c r="B12" s="7" t="s">
        <v>229</v>
      </c>
      <c r="C12" s="7"/>
      <c r="D12" s="7"/>
      <c r="E12" s="7"/>
      <c r="F12" s="7"/>
    </row>
    <row r="13" spans="2:6" ht="15" customHeight="1" x14ac:dyDescent="0.2">
      <c r="B13" s="17" t="s">
        <v>230</v>
      </c>
      <c r="C13" s="63">
        <v>10</v>
      </c>
      <c r="E13" s="2" t="s">
        <v>231</v>
      </c>
      <c r="F13" s="2"/>
    </row>
    <row r="14" spans="2:6" ht="15" customHeight="1" x14ac:dyDescent="0.2">
      <c r="B14" s="17" t="s">
        <v>232</v>
      </c>
      <c r="C14" s="57">
        <v>125000</v>
      </c>
      <c r="E14" s="2" t="s">
        <v>233</v>
      </c>
      <c r="F14" s="2"/>
    </row>
    <row r="15" spans="2:6" ht="15" customHeight="1" x14ac:dyDescent="0.2">
      <c r="B15" s="17" t="s">
        <v>234</v>
      </c>
      <c r="C15" s="49">
        <f>C13*C14</f>
        <v>1250000</v>
      </c>
      <c r="E15" s="2" t="s">
        <v>26</v>
      </c>
      <c r="F15" s="2"/>
    </row>
    <row r="17" spans="2:6" ht="15" customHeight="1" x14ac:dyDescent="0.2">
      <c r="B17" s="11" t="s">
        <v>235</v>
      </c>
      <c r="C17" s="11"/>
      <c r="D17" s="11"/>
      <c r="E17" s="11"/>
      <c r="F17" s="11"/>
    </row>
    <row r="18" spans="2:6" ht="24" customHeight="1" x14ac:dyDescent="0.2">
      <c r="B18" s="7" t="s">
        <v>236</v>
      </c>
      <c r="C18" s="7"/>
      <c r="D18" s="7"/>
      <c r="E18" s="7"/>
      <c r="F18" s="7"/>
    </row>
    <row r="19" spans="2:6" ht="15" customHeight="1" x14ac:dyDescent="0.2">
      <c r="B19" s="17" t="s">
        <v>237</v>
      </c>
      <c r="C19" s="63">
        <v>3</v>
      </c>
      <c r="E19" s="2" t="s">
        <v>75</v>
      </c>
      <c r="F19" s="2"/>
    </row>
    <row r="20" spans="2:6" ht="15" customHeight="1" x14ac:dyDescent="0.2">
      <c r="B20" s="17" t="s">
        <v>238</v>
      </c>
      <c r="C20" s="57">
        <v>15000</v>
      </c>
      <c r="E20" s="2" t="s">
        <v>239</v>
      </c>
      <c r="F20" s="2"/>
    </row>
    <row r="21" spans="2:6" ht="15" customHeight="1" x14ac:dyDescent="0.2">
      <c r="B21" s="17" t="s">
        <v>240</v>
      </c>
      <c r="C21" s="49">
        <f>C19*C20*12</f>
        <v>540000</v>
      </c>
      <c r="E21" s="2" t="s">
        <v>241</v>
      </c>
      <c r="F21" s="2"/>
    </row>
    <row r="23" spans="2:6" ht="15" customHeight="1" x14ac:dyDescent="0.2">
      <c r="B23" s="11" t="s">
        <v>242</v>
      </c>
      <c r="C23" s="11"/>
      <c r="D23" s="11"/>
      <c r="E23" s="11"/>
      <c r="F23" s="11"/>
    </row>
    <row r="24" spans="2:6" ht="24" customHeight="1" x14ac:dyDescent="0.2">
      <c r="B24" s="7" t="s">
        <v>243</v>
      </c>
      <c r="C24" s="7"/>
      <c r="D24" s="7"/>
      <c r="E24" s="7"/>
      <c r="F24" s="7"/>
    </row>
    <row r="25" spans="2:6" ht="15" customHeight="1" x14ac:dyDescent="0.2">
      <c r="B25" s="17" t="s">
        <v>244</v>
      </c>
      <c r="C25" s="63">
        <v>2</v>
      </c>
      <c r="E25" s="2" t="s">
        <v>75</v>
      </c>
      <c r="F25" s="2"/>
    </row>
    <row r="26" spans="2:6" ht="15" customHeight="1" x14ac:dyDescent="0.2">
      <c r="B26" s="17" t="s">
        <v>245</v>
      </c>
      <c r="C26" s="57">
        <v>250000</v>
      </c>
      <c r="E26" s="2" t="s">
        <v>246</v>
      </c>
      <c r="F26" s="2"/>
    </row>
    <row r="27" spans="2:6" ht="15" customHeight="1" x14ac:dyDescent="0.2">
      <c r="B27" s="17" t="s">
        <v>247</v>
      </c>
      <c r="C27" s="49">
        <f>C25*C26</f>
        <v>500000</v>
      </c>
      <c r="E27" s="2" t="s">
        <v>26</v>
      </c>
      <c r="F27" s="2"/>
    </row>
    <row r="30" spans="2:6" ht="15" customHeight="1" x14ac:dyDescent="0.2">
      <c r="B30" s="109" t="s">
        <v>248</v>
      </c>
      <c r="C30" s="109"/>
      <c r="D30" s="109"/>
      <c r="E30" s="109"/>
      <c r="F30" s="109"/>
    </row>
    <row r="31" spans="2:6" ht="15" customHeight="1" x14ac:dyDescent="0.2">
      <c r="B31" s="25" t="s">
        <v>249</v>
      </c>
      <c r="C31" s="65">
        <f>C9+C15+C21+C27</f>
        <v>5400400</v>
      </c>
    </row>
  </sheetData>
  <mergeCells count="24">
    <mergeCell ref="E25:F25"/>
    <mergeCell ref="E26:F26"/>
    <mergeCell ref="E27:F27"/>
    <mergeCell ref="B30:F30"/>
    <mergeCell ref="E19:F19"/>
    <mergeCell ref="E20:F20"/>
    <mergeCell ref="E21:F21"/>
    <mergeCell ref="B23:F23"/>
    <mergeCell ref="B24:F24"/>
    <mergeCell ref="E13:F13"/>
    <mergeCell ref="E14:F14"/>
    <mergeCell ref="E15:F15"/>
    <mergeCell ref="B17:F17"/>
    <mergeCell ref="B18:F18"/>
    <mergeCell ref="E7:F7"/>
    <mergeCell ref="E8:F8"/>
    <mergeCell ref="E9:F9"/>
    <mergeCell ref="B11:F11"/>
    <mergeCell ref="B12:F12"/>
    <mergeCell ref="B1:F1"/>
    <mergeCell ref="B3:F3"/>
    <mergeCell ref="B4:F4"/>
    <mergeCell ref="E5:F5"/>
    <mergeCell ref="E6:F6"/>
  </mergeCell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F27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5" customWidth="1"/>
    <col min="3" max="4" width="20" customWidth="1"/>
    <col min="5" max="5" width="22" customWidth="1"/>
  </cols>
  <sheetData>
    <row r="1" spans="2:5" ht="30" customHeight="1" x14ac:dyDescent="0.2">
      <c r="B1" s="8" t="s">
        <v>250</v>
      </c>
      <c r="C1" s="8"/>
      <c r="D1" s="8"/>
      <c r="E1" s="8"/>
    </row>
    <row r="3" spans="2:5" ht="15" customHeight="1" x14ac:dyDescent="0.2">
      <c r="B3" s="110" t="s">
        <v>251</v>
      </c>
      <c r="C3" s="110"/>
      <c r="D3" s="110"/>
      <c r="E3" s="110"/>
    </row>
    <row r="4" spans="2:5" ht="27.75" customHeight="1" x14ac:dyDescent="0.2">
      <c r="B4" s="7" t="s">
        <v>252</v>
      </c>
      <c r="C4" s="7"/>
      <c r="D4" s="7"/>
      <c r="E4" s="7"/>
    </row>
    <row r="5" spans="2:5" ht="15" customHeight="1" x14ac:dyDescent="0.2">
      <c r="B5" s="17" t="s">
        <v>253</v>
      </c>
      <c r="C5" s="57">
        <v>2000000000</v>
      </c>
      <c r="D5" s="111"/>
      <c r="E5" s="111"/>
    </row>
    <row r="6" spans="2:5" ht="15" customHeight="1" x14ac:dyDescent="0.2">
      <c r="B6" s="17" t="s">
        <v>254</v>
      </c>
      <c r="C6" s="64">
        <v>0.5</v>
      </c>
      <c r="D6" s="111"/>
      <c r="E6" s="111"/>
    </row>
    <row r="7" spans="2:5" ht="15" customHeight="1" x14ac:dyDescent="0.2">
      <c r="B7" s="17" t="s">
        <v>255</v>
      </c>
      <c r="C7" s="23">
        <f>C5*C6</f>
        <v>1000000000</v>
      </c>
      <c r="D7" s="111"/>
      <c r="E7" s="111"/>
    </row>
    <row r="8" spans="2:5" ht="15" customHeight="1" x14ac:dyDescent="0.2">
      <c r="B8" s="17" t="s">
        <v>256</v>
      </c>
      <c r="C8" s="23">
        <f>C7*83</f>
        <v>83000000000</v>
      </c>
      <c r="D8" s="111"/>
      <c r="E8" s="111"/>
    </row>
    <row r="10" spans="2:5" ht="15" customHeight="1" x14ac:dyDescent="0.2">
      <c r="B10" s="11" t="s">
        <v>257</v>
      </c>
      <c r="C10" s="11"/>
      <c r="D10" s="11"/>
      <c r="E10" s="11"/>
    </row>
    <row r="11" spans="2:5" ht="27.75" customHeight="1" x14ac:dyDescent="0.2">
      <c r="B11" s="7" t="s">
        <v>258</v>
      </c>
      <c r="C11" s="7"/>
      <c r="D11" s="7"/>
      <c r="E11" s="7"/>
    </row>
    <row r="12" spans="2:5" ht="15" customHeight="1" x14ac:dyDescent="0.2">
      <c r="B12" s="17" t="s">
        <v>259</v>
      </c>
      <c r="C12" s="64">
        <v>0.05</v>
      </c>
      <c r="D12" s="111"/>
      <c r="E12" s="111"/>
    </row>
    <row r="13" spans="2:5" ht="15" customHeight="1" x14ac:dyDescent="0.2">
      <c r="B13" s="17" t="s">
        <v>260</v>
      </c>
      <c r="C13" s="23">
        <f>C7*C12</f>
        <v>50000000</v>
      </c>
      <c r="D13" s="111"/>
      <c r="E13" s="111"/>
    </row>
    <row r="14" spans="2:5" ht="15" customHeight="1" x14ac:dyDescent="0.2">
      <c r="B14" s="17" t="s">
        <v>261</v>
      </c>
      <c r="C14" s="23">
        <f>C13*83</f>
        <v>4150000000</v>
      </c>
      <c r="D14" s="111"/>
      <c r="E14" s="111"/>
    </row>
    <row r="15" spans="2:5" ht="15" customHeight="1" x14ac:dyDescent="0.2">
      <c r="B15" s="17" t="s">
        <v>262</v>
      </c>
      <c r="C15" s="63">
        <v>40000</v>
      </c>
      <c r="D15" s="111"/>
      <c r="E15" s="111"/>
    </row>
    <row r="16" spans="2:5" ht="15" customHeight="1" x14ac:dyDescent="0.2">
      <c r="B16" s="17" t="s">
        <v>263</v>
      </c>
      <c r="C16" s="63">
        <v>1500</v>
      </c>
      <c r="D16" s="111"/>
      <c r="E16" s="111"/>
    </row>
    <row r="17" spans="2:6" ht="15" customHeight="1" x14ac:dyDescent="0.2">
      <c r="B17" s="17" t="s">
        <v>264</v>
      </c>
      <c r="C17" s="63">
        <v>1800</v>
      </c>
      <c r="D17" s="111"/>
      <c r="E17" s="111"/>
    </row>
    <row r="18" spans="2:6" ht="15" customHeight="1" x14ac:dyDescent="0.2">
      <c r="B18" s="17" t="s">
        <v>265</v>
      </c>
      <c r="C18" s="23">
        <f>C15*C16*C17</f>
        <v>108000000000</v>
      </c>
      <c r="D18" s="111"/>
      <c r="E18" s="111"/>
      <c r="F18" t="s">
        <v>266</v>
      </c>
    </row>
    <row r="20" spans="2:6" ht="15" customHeight="1" x14ac:dyDescent="0.2">
      <c r="B20" s="112" t="s">
        <v>267</v>
      </c>
      <c r="C20" s="112"/>
      <c r="D20" s="112"/>
      <c r="E20" s="112"/>
    </row>
    <row r="21" spans="2:6" ht="27.75" customHeight="1" x14ac:dyDescent="0.2">
      <c r="B21" s="7" t="s">
        <v>268</v>
      </c>
      <c r="C21" s="7"/>
      <c r="D21" s="7"/>
      <c r="E21" s="7"/>
    </row>
    <row r="22" spans="2:6" ht="15" customHeight="1" x14ac:dyDescent="0.2">
      <c r="B22" s="17" t="s">
        <v>269</v>
      </c>
      <c r="C22" s="66">
        <v>200</v>
      </c>
      <c r="D22" s="111"/>
      <c r="E22" s="111"/>
    </row>
    <row r="23" spans="2:6" ht="15" customHeight="1" x14ac:dyDescent="0.2">
      <c r="B23" s="17" t="s">
        <v>270</v>
      </c>
      <c r="C23" s="63">
        <v>1200</v>
      </c>
      <c r="D23" s="111"/>
      <c r="E23" s="111"/>
    </row>
    <row r="24" spans="2:6" ht="15" customHeight="1" x14ac:dyDescent="0.2">
      <c r="B24" s="17" t="s">
        <v>264</v>
      </c>
      <c r="C24" s="63">
        <v>2200</v>
      </c>
      <c r="D24" s="111"/>
      <c r="E24" s="111"/>
    </row>
    <row r="25" spans="2:6" ht="15" customHeight="1" x14ac:dyDescent="0.2">
      <c r="B25" s="17" t="s">
        <v>271</v>
      </c>
      <c r="C25" s="23">
        <f>C22*C23*C24</f>
        <v>528000000</v>
      </c>
      <c r="D25" s="111"/>
      <c r="E25" s="111"/>
    </row>
    <row r="26" spans="2:6" ht="23.25" customHeight="1" x14ac:dyDescent="0.2">
      <c r="B26" s="17" t="s">
        <v>272</v>
      </c>
      <c r="C26" s="23">
        <f>C25*0.18</f>
        <v>95040000</v>
      </c>
      <c r="D26" s="111"/>
      <c r="E26" s="111"/>
    </row>
    <row r="27" spans="2:6" ht="15" customHeight="1" x14ac:dyDescent="0.2">
      <c r="B27" s="17" t="s">
        <v>273</v>
      </c>
      <c r="C27" s="23">
        <f>C22/C15</f>
        <v>5.0000000000000001E-3</v>
      </c>
      <c r="D27" s="111"/>
      <c r="E27" s="111"/>
    </row>
  </sheetData>
  <mergeCells count="24">
    <mergeCell ref="D24:E24"/>
    <mergeCell ref="D25:E25"/>
    <mergeCell ref="D26:E26"/>
    <mergeCell ref="D27:E27"/>
    <mergeCell ref="D18:E18"/>
    <mergeCell ref="B20:E20"/>
    <mergeCell ref="B21:E21"/>
    <mergeCell ref="D22:E22"/>
    <mergeCell ref="D23:E23"/>
    <mergeCell ref="D13:E13"/>
    <mergeCell ref="D14:E14"/>
    <mergeCell ref="D15:E15"/>
    <mergeCell ref="D16:E16"/>
    <mergeCell ref="D17:E17"/>
    <mergeCell ref="D7:E7"/>
    <mergeCell ref="D8:E8"/>
    <mergeCell ref="B10:E10"/>
    <mergeCell ref="B11:E11"/>
    <mergeCell ref="D12:E12"/>
    <mergeCell ref="B1:E1"/>
    <mergeCell ref="B3:E3"/>
    <mergeCell ref="B4:E4"/>
    <mergeCell ref="D5:E5"/>
    <mergeCell ref="D6:E6"/>
  </mergeCell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2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15" width="11" customWidth="1"/>
    <col min="16" max="16" width="3" customWidth="1"/>
  </cols>
  <sheetData>
    <row r="1" spans="2:15" ht="30" customHeight="1" x14ac:dyDescent="0.2">
      <c r="B1" s="8" t="s">
        <v>274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3" spans="2:15" ht="15" customHeight="1" x14ac:dyDescent="0.2">
      <c r="B3" s="28" t="s">
        <v>18</v>
      </c>
      <c r="C3" s="28" t="s">
        <v>275</v>
      </c>
      <c r="D3" s="28" t="s">
        <v>276</v>
      </c>
      <c r="E3" s="28" t="s">
        <v>277</v>
      </c>
      <c r="F3" s="28" t="s">
        <v>278</v>
      </c>
      <c r="G3" s="28" t="s">
        <v>279</v>
      </c>
      <c r="H3" s="28" t="s">
        <v>280</v>
      </c>
      <c r="I3" s="28" t="s">
        <v>281</v>
      </c>
      <c r="J3" s="28" t="s">
        <v>282</v>
      </c>
      <c r="K3" s="28" t="s">
        <v>283</v>
      </c>
      <c r="L3" s="28" t="s">
        <v>284</v>
      </c>
      <c r="M3" s="28" t="s">
        <v>285</v>
      </c>
      <c r="N3" s="28" t="s">
        <v>286</v>
      </c>
      <c r="O3" s="67" t="s">
        <v>287</v>
      </c>
    </row>
    <row r="4" spans="2:15" ht="15" customHeight="1" x14ac:dyDescent="0.2">
      <c r="B4" s="15" t="s">
        <v>288</v>
      </c>
      <c r="C4" s="63">
        <v>1</v>
      </c>
      <c r="D4" s="63">
        <v>2</v>
      </c>
      <c r="E4" s="63">
        <v>3</v>
      </c>
      <c r="F4" s="63">
        <v>4</v>
      </c>
      <c r="G4" s="63">
        <v>5</v>
      </c>
      <c r="H4" s="63">
        <v>6</v>
      </c>
      <c r="I4" s="63">
        <v>7</v>
      </c>
      <c r="J4" s="63">
        <v>8</v>
      </c>
      <c r="K4" s="63">
        <v>9</v>
      </c>
      <c r="L4" s="63">
        <v>10</v>
      </c>
      <c r="M4" s="63">
        <v>11</v>
      </c>
      <c r="N4" s="63">
        <v>12</v>
      </c>
      <c r="O4" s="68">
        <f>N4</f>
        <v>12</v>
      </c>
    </row>
    <row r="5" spans="2:15" ht="23.25" customHeight="1" x14ac:dyDescent="0.2">
      <c r="B5" s="17" t="s">
        <v>289</v>
      </c>
      <c r="C5" s="63">
        <v>67</v>
      </c>
      <c r="D5" s="63">
        <v>67</v>
      </c>
      <c r="E5" s="63">
        <v>67</v>
      </c>
      <c r="F5" s="63">
        <v>67</v>
      </c>
      <c r="G5" s="63">
        <v>67</v>
      </c>
      <c r="H5" s="63">
        <v>67</v>
      </c>
      <c r="I5" s="63">
        <v>67</v>
      </c>
      <c r="J5" s="63">
        <v>67</v>
      </c>
      <c r="K5" s="63">
        <v>67</v>
      </c>
      <c r="L5" s="63">
        <v>67</v>
      </c>
      <c r="M5" s="63">
        <v>67</v>
      </c>
      <c r="N5" s="63">
        <v>67</v>
      </c>
      <c r="O5" s="68">
        <f>SUM(C5:N5)</f>
        <v>804</v>
      </c>
    </row>
    <row r="6" spans="2:15" ht="15" customHeight="1" x14ac:dyDescent="0.2">
      <c r="B6" s="17" t="s">
        <v>290</v>
      </c>
      <c r="C6" s="57">
        <v>1800</v>
      </c>
      <c r="D6" s="57">
        <v>1800</v>
      </c>
      <c r="E6" s="57">
        <v>1800</v>
      </c>
      <c r="F6" s="57">
        <v>1800</v>
      </c>
      <c r="G6" s="57">
        <v>1800</v>
      </c>
      <c r="H6" s="57">
        <v>1800</v>
      </c>
      <c r="I6" s="57">
        <v>1800</v>
      </c>
      <c r="J6" s="57">
        <v>1800</v>
      </c>
      <c r="K6" s="57">
        <v>1800</v>
      </c>
      <c r="L6" s="57">
        <v>1800</v>
      </c>
      <c r="M6" s="57">
        <v>1800</v>
      </c>
      <c r="N6" s="57">
        <v>1800</v>
      </c>
      <c r="O6" s="65">
        <f>AVERAGE(C6:N6)</f>
        <v>1800</v>
      </c>
    </row>
    <row r="7" spans="2:15" ht="15" customHeight="1" x14ac:dyDescent="0.2">
      <c r="B7" s="11" t="s">
        <v>291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2:15" ht="23.25" customHeight="1" x14ac:dyDescent="0.2">
      <c r="B8" s="17" t="s">
        <v>292</v>
      </c>
      <c r="C8" s="34">
        <f t="shared" ref="C8:N8" si="0">C4*C5*C6*0.18</f>
        <v>21708</v>
      </c>
      <c r="D8" s="34">
        <f t="shared" si="0"/>
        <v>43416</v>
      </c>
      <c r="E8" s="34">
        <f t="shared" si="0"/>
        <v>65124</v>
      </c>
      <c r="F8" s="34">
        <f t="shared" si="0"/>
        <v>86832</v>
      </c>
      <c r="G8" s="34">
        <f t="shared" si="0"/>
        <v>108540</v>
      </c>
      <c r="H8" s="34">
        <f t="shared" si="0"/>
        <v>130248</v>
      </c>
      <c r="I8" s="34">
        <f t="shared" si="0"/>
        <v>151956</v>
      </c>
      <c r="J8" s="34">
        <f t="shared" si="0"/>
        <v>173664</v>
      </c>
      <c r="K8" s="34">
        <f t="shared" si="0"/>
        <v>195372</v>
      </c>
      <c r="L8" s="34">
        <f t="shared" si="0"/>
        <v>217080</v>
      </c>
      <c r="M8" s="34">
        <f t="shared" si="0"/>
        <v>238788</v>
      </c>
      <c r="N8" s="34">
        <f t="shared" si="0"/>
        <v>260496</v>
      </c>
      <c r="O8" s="40">
        <f>SUM(C8:N8)</f>
        <v>1693224</v>
      </c>
    </row>
    <row r="9" spans="2:15" ht="15" customHeight="1" x14ac:dyDescent="0.2">
      <c r="B9" s="17" t="s">
        <v>293</v>
      </c>
      <c r="C9" s="34">
        <f t="shared" ref="C9:N9" si="1">MAX(C4-2,0)*10417</f>
        <v>0</v>
      </c>
      <c r="D9" s="34">
        <f t="shared" si="1"/>
        <v>0</v>
      </c>
      <c r="E9" s="34">
        <f t="shared" si="1"/>
        <v>10417</v>
      </c>
      <c r="F9" s="34">
        <f t="shared" si="1"/>
        <v>20834</v>
      </c>
      <c r="G9" s="34">
        <f t="shared" si="1"/>
        <v>31251</v>
      </c>
      <c r="H9" s="34">
        <f t="shared" si="1"/>
        <v>41668</v>
      </c>
      <c r="I9" s="34">
        <f t="shared" si="1"/>
        <v>52085</v>
      </c>
      <c r="J9" s="34">
        <f t="shared" si="1"/>
        <v>62502</v>
      </c>
      <c r="K9" s="34">
        <f t="shared" si="1"/>
        <v>72919</v>
      </c>
      <c r="L9" s="34">
        <f t="shared" si="1"/>
        <v>83336</v>
      </c>
      <c r="M9" s="34">
        <f t="shared" si="1"/>
        <v>93753</v>
      </c>
      <c r="N9" s="34">
        <f t="shared" si="1"/>
        <v>104170</v>
      </c>
      <c r="O9" s="40">
        <f>SUM(C9:N9)</f>
        <v>572935</v>
      </c>
    </row>
    <row r="10" spans="2:15" ht="15" customHeight="1" x14ac:dyDescent="0.2">
      <c r="B10" s="17" t="s">
        <v>294</v>
      </c>
      <c r="C10" s="34">
        <f t="shared" ref="C10:N10" si="2">IF(COLUMN()-2&gt;=3,45000,0)</f>
        <v>0</v>
      </c>
      <c r="D10" s="34">
        <f t="shared" si="2"/>
        <v>0</v>
      </c>
      <c r="E10" s="34">
        <f t="shared" si="2"/>
        <v>45000</v>
      </c>
      <c r="F10" s="34">
        <f t="shared" si="2"/>
        <v>45000</v>
      </c>
      <c r="G10" s="34">
        <f t="shared" si="2"/>
        <v>45000</v>
      </c>
      <c r="H10" s="34">
        <f t="shared" si="2"/>
        <v>45000</v>
      </c>
      <c r="I10" s="34">
        <f t="shared" si="2"/>
        <v>45000</v>
      </c>
      <c r="J10" s="34">
        <f t="shared" si="2"/>
        <v>45000</v>
      </c>
      <c r="K10" s="34">
        <f t="shared" si="2"/>
        <v>45000</v>
      </c>
      <c r="L10" s="34">
        <f t="shared" si="2"/>
        <v>45000</v>
      </c>
      <c r="M10" s="34">
        <f t="shared" si="2"/>
        <v>45000</v>
      </c>
      <c r="N10" s="34">
        <f t="shared" si="2"/>
        <v>45000</v>
      </c>
      <c r="O10" s="40">
        <f>SUM(C10:N10)</f>
        <v>450000</v>
      </c>
    </row>
    <row r="11" spans="2:15" ht="15" customHeight="1" x14ac:dyDescent="0.2">
      <c r="B11" s="17" t="s">
        <v>295</v>
      </c>
      <c r="C11" s="34">
        <f t="shared" ref="C11:N11" si="3">IF(COLUMN()-2&gt;=6,41667,0)</f>
        <v>0</v>
      </c>
      <c r="D11" s="34">
        <f t="shared" si="3"/>
        <v>0</v>
      </c>
      <c r="E11" s="34">
        <f t="shared" si="3"/>
        <v>0</v>
      </c>
      <c r="F11" s="34">
        <f t="shared" si="3"/>
        <v>0</v>
      </c>
      <c r="G11" s="34">
        <f t="shared" si="3"/>
        <v>0</v>
      </c>
      <c r="H11" s="34">
        <f t="shared" si="3"/>
        <v>41667</v>
      </c>
      <c r="I11" s="34">
        <f t="shared" si="3"/>
        <v>41667</v>
      </c>
      <c r="J11" s="34">
        <f t="shared" si="3"/>
        <v>41667</v>
      </c>
      <c r="K11" s="34">
        <f t="shared" si="3"/>
        <v>41667</v>
      </c>
      <c r="L11" s="34">
        <f t="shared" si="3"/>
        <v>41667</v>
      </c>
      <c r="M11" s="34">
        <f t="shared" si="3"/>
        <v>41667</v>
      </c>
      <c r="N11" s="34">
        <f t="shared" si="3"/>
        <v>41667</v>
      </c>
      <c r="O11" s="40">
        <f>SUM(C11:N11)</f>
        <v>291669</v>
      </c>
    </row>
    <row r="12" spans="2:15" ht="15" customHeight="1" x14ac:dyDescent="0.2">
      <c r="B12" s="25" t="s">
        <v>296</v>
      </c>
      <c r="C12" s="35">
        <f t="shared" ref="C12:N12" si="4">C8+C9+C10+C11</f>
        <v>21708</v>
      </c>
      <c r="D12" s="35">
        <f t="shared" si="4"/>
        <v>43416</v>
      </c>
      <c r="E12" s="35">
        <f t="shared" si="4"/>
        <v>120541</v>
      </c>
      <c r="F12" s="35">
        <f t="shared" si="4"/>
        <v>152666</v>
      </c>
      <c r="G12" s="35">
        <f t="shared" si="4"/>
        <v>184791</v>
      </c>
      <c r="H12" s="35">
        <f t="shared" si="4"/>
        <v>258583</v>
      </c>
      <c r="I12" s="35">
        <f t="shared" si="4"/>
        <v>290708</v>
      </c>
      <c r="J12" s="35">
        <f t="shared" si="4"/>
        <v>322833</v>
      </c>
      <c r="K12" s="35">
        <f t="shared" si="4"/>
        <v>354958</v>
      </c>
      <c r="L12" s="35">
        <f t="shared" si="4"/>
        <v>387083</v>
      </c>
      <c r="M12" s="35">
        <f t="shared" si="4"/>
        <v>419208</v>
      </c>
      <c r="N12" s="35">
        <f t="shared" si="4"/>
        <v>451333</v>
      </c>
      <c r="O12" s="40">
        <f>SUM(C12:N12)</f>
        <v>3007828</v>
      </c>
    </row>
    <row r="14" spans="2:15" ht="15" customHeight="1" x14ac:dyDescent="0.2">
      <c r="B14" s="11" t="s">
        <v>297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 spans="2:15" ht="15" customHeight="1" x14ac:dyDescent="0.2">
      <c r="B15" s="17" t="s">
        <v>298</v>
      </c>
      <c r="C15" s="57">
        <v>50000</v>
      </c>
      <c r="D15" s="57">
        <v>65000</v>
      </c>
      <c r="E15" s="57">
        <v>80000</v>
      </c>
      <c r="F15" s="57">
        <v>95000</v>
      </c>
      <c r="G15" s="57">
        <v>110000</v>
      </c>
      <c r="H15" s="57">
        <v>125000</v>
      </c>
      <c r="I15" s="57">
        <v>140000</v>
      </c>
      <c r="J15" s="57">
        <v>155000</v>
      </c>
      <c r="K15" s="57">
        <v>170000</v>
      </c>
      <c r="L15" s="57">
        <v>185000</v>
      </c>
      <c r="M15" s="57">
        <v>200000</v>
      </c>
      <c r="N15" s="57">
        <v>215000</v>
      </c>
      <c r="O15" s="69">
        <f t="shared" ref="O15:O22" si="5">SUM(C15:N15)</f>
        <v>1590000</v>
      </c>
    </row>
    <row r="16" spans="2:15" ht="15" customHeight="1" x14ac:dyDescent="0.2">
      <c r="B16" s="17" t="s">
        <v>299</v>
      </c>
      <c r="C16" s="57">
        <v>40000</v>
      </c>
      <c r="D16" s="57">
        <v>40000</v>
      </c>
      <c r="E16" s="57">
        <v>40000</v>
      </c>
      <c r="F16" s="57">
        <v>40000</v>
      </c>
      <c r="G16" s="57">
        <v>40000</v>
      </c>
      <c r="H16" s="57">
        <v>40000</v>
      </c>
      <c r="I16" s="57">
        <v>40000</v>
      </c>
      <c r="J16" s="57">
        <v>40000</v>
      </c>
      <c r="K16" s="57">
        <v>40000</v>
      </c>
      <c r="L16" s="57">
        <v>40000</v>
      </c>
      <c r="M16" s="57">
        <v>40000</v>
      </c>
      <c r="N16" s="57">
        <v>40000</v>
      </c>
      <c r="O16" s="69">
        <f t="shared" si="5"/>
        <v>480000</v>
      </c>
    </row>
    <row r="17" spans="2:15" ht="15" customHeight="1" x14ac:dyDescent="0.2">
      <c r="B17" s="17" t="s">
        <v>300</v>
      </c>
      <c r="C17" s="57">
        <v>250000</v>
      </c>
      <c r="D17" s="57">
        <v>250000</v>
      </c>
      <c r="E17" s="57">
        <v>250000</v>
      </c>
      <c r="F17" s="57">
        <v>250000</v>
      </c>
      <c r="G17" s="57">
        <v>250000</v>
      </c>
      <c r="H17" s="57">
        <v>250000</v>
      </c>
      <c r="I17" s="57">
        <v>250000</v>
      </c>
      <c r="J17" s="57">
        <v>250000</v>
      </c>
      <c r="K17" s="57">
        <v>250000</v>
      </c>
      <c r="L17" s="57">
        <v>250000</v>
      </c>
      <c r="M17" s="57">
        <v>250000</v>
      </c>
      <c r="N17" s="57">
        <v>250000</v>
      </c>
      <c r="O17" s="69">
        <f t="shared" si="5"/>
        <v>3000000</v>
      </c>
    </row>
    <row r="18" spans="2:15" ht="15" customHeight="1" x14ac:dyDescent="0.2">
      <c r="B18" s="17" t="s">
        <v>301</v>
      </c>
      <c r="C18" s="57">
        <v>30000</v>
      </c>
      <c r="D18" s="57">
        <v>30000</v>
      </c>
      <c r="E18" s="57">
        <v>30000</v>
      </c>
      <c r="F18" s="57">
        <v>30000</v>
      </c>
      <c r="G18" s="57">
        <v>30000</v>
      </c>
      <c r="H18" s="57">
        <v>30000</v>
      </c>
      <c r="I18" s="57">
        <v>30000</v>
      </c>
      <c r="J18" s="57">
        <v>30000</v>
      </c>
      <c r="K18" s="57">
        <v>30000</v>
      </c>
      <c r="L18" s="57">
        <v>30000</v>
      </c>
      <c r="M18" s="57">
        <v>30000</v>
      </c>
      <c r="N18" s="57">
        <v>30000</v>
      </c>
      <c r="O18" s="69">
        <f t="shared" si="5"/>
        <v>360000</v>
      </c>
    </row>
    <row r="19" spans="2:15" ht="15" customHeight="1" x14ac:dyDescent="0.2">
      <c r="B19" s="17" t="s">
        <v>302</v>
      </c>
      <c r="C19" s="57">
        <v>20000</v>
      </c>
      <c r="D19" s="57">
        <v>20000</v>
      </c>
      <c r="E19" s="57">
        <v>20000</v>
      </c>
      <c r="F19" s="57">
        <v>20000</v>
      </c>
      <c r="G19" s="57">
        <v>20000</v>
      </c>
      <c r="H19" s="57">
        <v>20000</v>
      </c>
      <c r="I19" s="57">
        <v>20000</v>
      </c>
      <c r="J19" s="57">
        <v>20000</v>
      </c>
      <c r="K19" s="57">
        <v>20000</v>
      </c>
      <c r="L19" s="57">
        <v>20000</v>
      </c>
      <c r="M19" s="57">
        <v>20000</v>
      </c>
      <c r="N19" s="57">
        <v>20000</v>
      </c>
      <c r="O19" s="69">
        <f t="shared" si="5"/>
        <v>240000</v>
      </c>
    </row>
    <row r="20" spans="2:15" ht="15" customHeight="1" x14ac:dyDescent="0.2">
      <c r="B20" s="70" t="s">
        <v>303</v>
      </c>
      <c r="C20" s="71">
        <f t="shared" ref="C20:N20" si="6">SUM(C15:C19)</f>
        <v>390000</v>
      </c>
      <c r="D20" s="71">
        <f t="shared" si="6"/>
        <v>405000</v>
      </c>
      <c r="E20" s="71">
        <f t="shared" si="6"/>
        <v>420000</v>
      </c>
      <c r="F20" s="71">
        <f t="shared" si="6"/>
        <v>435000</v>
      </c>
      <c r="G20" s="71">
        <f t="shared" si="6"/>
        <v>450000</v>
      </c>
      <c r="H20" s="71">
        <f t="shared" si="6"/>
        <v>465000</v>
      </c>
      <c r="I20" s="71">
        <f t="shared" si="6"/>
        <v>480000</v>
      </c>
      <c r="J20" s="71">
        <f t="shared" si="6"/>
        <v>495000</v>
      </c>
      <c r="K20" s="71">
        <f t="shared" si="6"/>
        <v>510000</v>
      </c>
      <c r="L20" s="71">
        <f t="shared" si="6"/>
        <v>525000</v>
      </c>
      <c r="M20" s="71">
        <f t="shared" si="6"/>
        <v>540000</v>
      </c>
      <c r="N20" s="71">
        <f t="shared" si="6"/>
        <v>555000</v>
      </c>
      <c r="O20" s="72">
        <f t="shared" si="5"/>
        <v>5670000</v>
      </c>
    </row>
    <row r="21" spans="2:15" ht="15" customHeight="1" x14ac:dyDescent="0.2">
      <c r="B21" s="25" t="s">
        <v>304</v>
      </c>
      <c r="C21" s="35">
        <f t="shared" ref="C21:N21" si="7">C12-C20</f>
        <v>-368292</v>
      </c>
      <c r="D21" s="35">
        <f t="shared" si="7"/>
        <v>-361584</v>
      </c>
      <c r="E21" s="35">
        <f t="shared" si="7"/>
        <v>-299459</v>
      </c>
      <c r="F21" s="35">
        <f t="shared" si="7"/>
        <v>-282334</v>
      </c>
      <c r="G21" s="35">
        <f t="shared" si="7"/>
        <v>-265209</v>
      </c>
      <c r="H21" s="35">
        <f t="shared" si="7"/>
        <v>-206417</v>
      </c>
      <c r="I21" s="35">
        <f t="shared" si="7"/>
        <v>-189292</v>
      </c>
      <c r="J21" s="35">
        <f t="shared" si="7"/>
        <v>-172167</v>
      </c>
      <c r="K21" s="35">
        <f t="shared" si="7"/>
        <v>-155042</v>
      </c>
      <c r="L21" s="35">
        <f t="shared" si="7"/>
        <v>-137917</v>
      </c>
      <c r="M21" s="35">
        <f t="shared" si="7"/>
        <v>-120792</v>
      </c>
      <c r="N21" s="35">
        <f t="shared" si="7"/>
        <v>-103667</v>
      </c>
      <c r="O21" s="40">
        <f t="shared" si="5"/>
        <v>-2662172</v>
      </c>
    </row>
    <row r="22" spans="2:15" ht="15" customHeight="1" x14ac:dyDescent="0.2">
      <c r="B22" s="25" t="s">
        <v>305</v>
      </c>
      <c r="C22" s="35">
        <f t="shared" ref="C22:N22" si="8">C21</f>
        <v>-368292</v>
      </c>
      <c r="D22" s="35">
        <f t="shared" si="8"/>
        <v>-361584</v>
      </c>
      <c r="E22" s="35">
        <f t="shared" si="8"/>
        <v>-299459</v>
      </c>
      <c r="F22" s="35">
        <f t="shared" si="8"/>
        <v>-282334</v>
      </c>
      <c r="G22" s="35">
        <f t="shared" si="8"/>
        <v>-265209</v>
      </c>
      <c r="H22" s="35">
        <f t="shared" si="8"/>
        <v>-206417</v>
      </c>
      <c r="I22" s="35">
        <f t="shared" si="8"/>
        <v>-189292</v>
      </c>
      <c r="J22" s="35">
        <f t="shared" si="8"/>
        <v>-172167</v>
      </c>
      <c r="K22" s="35">
        <f t="shared" si="8"/>
        <v>-155042</v>
      </c>
      <c r="L22" s="35">
        <f t="shared" si="8"/>
        <v>-137917</v>
      </c>
      <c r="M22" s="35">
        <f t="shared" si="8"/>
        <v>-120792</v>
      </c>
      <c r="N22" s="35">
        <f t="shared" si="8"/>
        <v>-103667</v>
      </c>
      <c r="O22" s="40">
        <f t="shared" si="5"/>
        <v>-2662172</v>
      </c>
    </row>
  </sheetData>
  <mergeCells count="3">
    <mergeCell ref="B1:O1"/>
    <mergeCell ref="B7:O7"/>
    <mergeCell ref="B14:O14"/>
  </mergeCells>
  <pageMargins left="0.75" right="0.75" top="1" bottom="1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H27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5" customWidth="1"/>
    <col min="3" max="7" width="18" customWidth="1"/>
  </cols>
  <sheetData>
    <row r="1" spans="2:8" ht="30" customHeight="1" x14ac:dyDescent="0.2">
      <c r="B1" s="8" t="s">
        <v>306</v>
      </c>
      <c r="C1" s="8"/>
      <c r="D1" s="8"/>
      <c r="E1" s="8"/>
      <c r="F1" s="8"/>
      <c r="G1" s="8"/>
    </row>
    <row r="3" spans="2:8" ht="15" customHeight="1" x14ac:dyDescent="0.2">
      <c r="B3" s="28" t="s">
        <v>18</v>
      </c>
      <c r="C3" s="28" t="s">
        <v>19</v>
      </c>
      <c r="D3" s="28" t="s">
        <v>307</v>
      </c>
      <c r="E3" s="28" t="s">
        <v>20</v>
      </c>
      <c r="F3" s="28" t="s">
        <v>308</v>
      </c>
      <c r="G3" s="28" t="s">
        <v>309</v>
      </c>
    </row>
    <row r="4" spans="2:8" ht="15" customHeight="1" x14ac:dyDescent="0.2">
      <c r="B4" s="11" t="s">
        <v>310</v>
      </c>
      <c r="C4" s="11"/>
      <c r="D4" s="11"/>
      <c r="E4" s="11"/>
      <c r="F4" s="11"/>
      <c r="G4" s="11"/>
    </row>
    <row r="5" spans="2:8" ht="19.5" customHeight="1" x14ac:dyDescent="0.2">
      <c r="B5" s="17" t="s">
        <v>311</v>
      </c>
      <c r="C5" s="66">
        <v>12</v>
      </c>
      <c r="D5" s="66">
        <v>30</v>
      </c>
      <c r="E5" s="66">
        <v>60</v>
      </c>
      <c r="F5" s="73"/>
      <c r="G5" s="73"/>
      <c r="H5" s="24" t="s">
        <v>312</v>
      </c>
    </row>
    <row r="6" spans="2:8" ht="19.5" customHeight="1" x14ac:dyDescent="0.2">
      <c r="B6" s="17" t="s">
        <v>313</v>
      </c>
      <c r="C6" s="66">
        <v>800</v>
      </c>
      <c r="D6" s="66">
        <v>900</v>
      </c>
      <c r="E6" s="66">
        <v>1000</v>
      </c>
      <c r="F6" s="73"/>
      <c r="G6" s="73"/>
      <c r="H6" s="24" t="s">
        <v>314</v>
      </c>
    </row>
    <row r="7" spans="2:8" ht="19.5" customHeight="1" x14ac:dyDescent="0.2">
      <c r="B7" s="17" t="s">
        <v>315</v>
      </c>
      <c r="C7" s="57">
        <v>1800</v>
      </c>
      <c r="D7" s="57">
        <v>2000</v>
      </c>
      <c r="E7" s="57">
        <v>2300</v>
      </c>
      <c r="F7" s="73"/>
      <c r="G7" s="73"/>
      <c r="H7" s="24" t="s">
        <v>316</v>
      </c>
    </row>
    <row r="8" spans="2:8" ht="19.5" customHeight="1" x14ac:dyDescent="0.2">
      <c r="B8" s="17" t="s">
        <v>166</v>
      </c>
      <c r="C8" s="66">
        <v>0.18</v>
      </c>
      <c r="D8" s="66">
        <v>0.18</v>
      </c>
      <c r="E8" s="66">
        <v>0.18</v>
      </c>
      <c r="F8" s="73"/>
      <c r="G8" s="73"/>
      <c r="H8" s="24" t="s">
        <v>317</v>
      </c>
    </row>
    <row r="10" spans="2:8" ht="15" customHeight="1" x14ac:dyDescent="0.2">
      <c r="B10" s="11" t="s">
        <v>318</v>
      </c>
      <c r="C10" s="11"/>
      <c r="D10" s="11"/>
      <c r="E10" s="11"/>
      <c r="F10" s="11"/>
      <c r="G10" s="11"/>
    </row>
    <row r="11" spans="2:8" ht="19.5" customHeight="1" x14ac:dyDescent="0.2">
      <c r="B11" s="17" t="s">
        <v>319</v>
      </c>
      <c r="C11" s="34">
        <f>C5*C6*C7*C8</f>
        <v>3110400</v>
      </c>
      <c r="D11" s="34">
        <f>D5*D6*D7*D8</f>
        <v>9720000</v>
      </c>
      <c r="E11" s="34">
        <f>E5*E6*E7*E8</f>
        <v>24840000</v>
      </c>
      <c r="F11" s="73"/>
      <c r="G11" s="73"/>
      <c r="H11" s="24" t="s">
        <v>26</v>
      </c>
    </row>
    <row r="12" spans="2:8" ht="19.5" customHeight="1" x14ac:dyDescent="0.2">
      <c r="B12" s="17" t="s">
        <v>43</v>
      </c>
      <c r="C12" s="34">
        <f>MAX(C5-2,0)*125000</f>
        <v>1250000</v>
      </c>
      <c r="D12" s="34">
        <f>MAX(D5-2,0)*140000</f>
        <v>3920000</v>
      </c>
      <c r="E12" s="34">
        <f>MAX(E5-2,0)*155000</f>
        <v>8990000</v>
      </c>
      <c r="F12" s="73"/>
      <c r="G12" s="73"/>
      <c r="H12" s="24" t="s">
        <v>26</v>
      </c>
    </row>
    <row r="13" spans="2:8" ht="19.5" customHeight="1" x14ac:dyDescent="0.2">
      <c r="B13" s="17" t="s">
        <v>320</v>
      </c>
      <c r="C13" s="57">
        <v>540000</v>
      </c>
      <c r="D13" s="57">
        <v>1200000</v>
      </c>
      <c r="E13" s="57">
        <v>2400000</v>
      </c>
      <c r="F13" s="73"/>
      <c r="G13" s="73"/>
      <c r="H13" s="24" t="s">
        <v>321</v>
      </c>
    </row>
    <row r="14" spans="2:8" ht="19.5" customHeight="1" x14ac:dyDescent="0.2">
      <c r="B14" s="17" t="s">
        <v>322</v>
      </c>
      <c r="C14" s="57">
        <v>500000</v>
      </c>
      <c r="D14" s="57">
        <v>1000000</v>
      </c>
      <c r="E14" s="57">
        <v>2000000</v>
      </c>
      <c r="F14" s="73"/>
      <c r="G14" s="73"/>
      <c r="H14" s="24" t="s">
        <v>323</v>
      </c>
    </row>
    <row r="15" spans="2:8" ht="19.5" customHeight="1" x14ac:dyDescent="0.2">
      <c r="B15" s="25" t="s">
        <v>58</v>
      </c>
      <c r="C15" s="35">
        <f>SUM(C11:C14)</f>
        <v>5400400</v>
      </c>
      <c r="D15" s="35">
        <f>SUM(D11:D14)</f>
        <v>15840000</v>
      </c>
      <c r="E15" s="35">
        <f>SUM(E11:E14)</f>
        <v>38230000</v>
      </c>
      <c r="F15" s="74">
        <f>IFERROR((D15-C15)/C15,"—")</f>
        <v>1.9331160654766313</v>
      </c>
      <c r="G15" s="74">
        <f>IFERROR((E15-D15)/D15,"—")</f>
        <v>1.413510101010101</v>
      </c>
      <c r="H15" s="24" t="s">
        <v>26</v>
      </c>
    </row>
    <row r="17" spans="2:8" ht="15" customHeight="1" x14ac:dyDescent="0.2">
      <c r="B17" s="11" t="s">
        <v>324</v>
      </c>
      <c r="C17" s="11"/>
      <c r="D17" s="11"/>
      <c r="E17" s="11"/>
      <c r="F17" s="11"/>
      <c r="G17" s="11"/>
    </row>
    <row r="18" spans="2:8" ht="19.5" customHeight="1" x14ac:dyDescent="0.2">
      <c r="B18" s="17" t="s">
        <v>325</v>
      </c>
      <c r="C18" s="57">
        <v>1980000</v>
      </c>
      <c r="D18" s="57">
        <v>4500000</v>
      </c>
      <c r="E18" s="57">
        <v>8400000</v>
      </c>
      <c r="F18" s="73"/>
      <c r="G18" s="73"/>
      <c r="H18" s="24" t="s">
        <v>326</v>
      </c>
    </row>
    <row r="19" spans="2:8" ht="19.5" customHeight="1" x14ac:dyDescent="0.2">
      <c r="B19" s="17" t="s">
        <v>327</v>
      </c>
      <c r="C19" s="57">
        <v>480000</v>
      </c>
      <c r="D19" s="57">
        <v>720000</v>
      </c>
      <c r="E19" s="57">
        <v>1200000</v>
      </c>
      <c r="F19" s="73"/>
      <c r="G19" s="73"/>
      <c r="H19" s="24" t="s">
        <v>75</v>
      </c>
    </row>
    <row r="20" spans="2:8" ht="19.5" customHeight="1" x14ac:dyDescent="0.2">
      <c r="B20" s="17" t="s">
        <v>328</v>
      </c>
      <c r="C20" s="57">
        <v>3000000</v>
      </c>
      <c r="D20" s="57">
        <v>5400000</v>
      </c>
      <c r="E20" s="57">
        <v>9900000</v>
      </c>
      <c r="F20" s="73"/>
      <c r="G20" s="73"/>
      <c r="H20" s="24" t="s">
        <v>329</v>
      </c>
    </row>
    <row r="21" spans="2:8" ht="19.5" customHeight="1" x14ac:dyDescent="0.2">
      <c r="B21" s="17" t="s">
        <v>330</v>
      </c>
      <c r="C21" s="57">
        <v>360000</v>
      </c>
      <c r="D21" s="57">
        <v>720000</v>
      </c>
      <c r="E21" s="57">
        <v>1440000</v>
      </c>
      <c r="F21" s="73"/>
      <c r="G21" s="73"/>
      <c r="H21" s="24" t="s">
        <v>75</v>
      </c>
    </row>
    <row r="22" spans="2:8" ht="19.5" customHeight="1" x14ac:dyDescent="0.2">
      <c r="B22" s="17" t="s">
        <v>331</v>
      </c>
      <c r="C22" s="57">
        <v>240000</v>
      </c>
      <c r="D22" s="57">
        <v>360000</v>
      </c>
      <c r="E22" s="57">
        <v>600000</v>
      </c>
      <c r="F22" s="73"/>
      <c r="G22" s="73"/>
      <c r="H22" s="24" t="s">
        <v>75</v>
      </c>
    </row>
    <row r="23" spans="2:8" ht="19.5" customHeight="1" x14ac:dyDescent="0.2">
      <c r="B23" s="25" t="s">
        <v>332</v>
      </c>
      <c r="C23" s="35">
        <f>SUM(C18:C22)</f>
        <v>6060000</v>
      </c>
      <c r="D23" s="35">
        <f>SUM(D18:D22)</f>
        <v>11700000</v>
      </c>
      <c r="E23" s="35">
        <f>SUM(E18:E22)</f>
        <v>21540000</v>
      </c>
      <c r="F23" s="74">
        <f>IFERROR((D23-C23)/C23,"—")</f>
        <v>0.93069306930693074</v>
      </c>
      <c r="G23" s="74">
        <f>IFERROR((E23-D23)/D23,"—")</f>
        <v>0.84102564102564104</v>
      </c>
      <c r="H23" s="24" t="s">
        <v>26</v>
      </c>
    </row>
    <row r="25" spans="2:8" ht="19.5" customHeight="1" x14ac:dyDescent="0.2">
      <c r="B25" s="25" t="s">
        <v>333</v>
      </c>
      <c r="C25" s="35">
        <f>C15-C23</f>
        <v>-659600</v>
      </c>
      <c r="D25" s="35">
        <f>D15-D23</f>
        <v>4140000</v>
      </c>
      <c r="E25" s="35">
        <f>E15-E23</f>
        <v>16690000</v>
      </c>
      <c r="F25" s="74">
        <f>IFERROR((D25-C25)/C25,"—")</f>
        <v>-7.2765312310491206</v>
      </c>
      <c r="G25" s="74">
        <f>IFERROR((E25-D25)/D25,"—")</f>
        <v>3.031400966183575</v>
      </c>
      <c r="H25" s="24" t="s">
        <v>26</v>
      </c>
    </row>
    <row r="26" spans="2:8" ht="19.5" customHeight="1" x14ac:dyDescent="0.2">
      <c r="B26" s="17" t="s">
        <v>334</v>
      </c>
      <c r="C26" s="75">
        <f>IFERROR(C25/C15,0)</f>
        <v>-0.12213910080734761</v>
      </c>
      <c r="D26" s="75">
        <f>IFERROR(D25/D15,0)</f>
        <v>0.26136363636363635</v>
      </c>
      <c r="E26" s="75">
        <f>IFERROR(E25/E15,0)</f>
        <v>0.43656814020402823</v>
      </c>
      <c r="F26" s="73"/>
      <c r="G26" s="73"/>
      <c r="H26" s="24" t="s">
        <v>26</v>
      </c>
    </row>
    <row r="27" spans="2:8" ht="19.5" customHeight="1" x14ac:dyDescent="0.2">
      <c r="B27" s="25" t="s">
        <v>335</v>
      </c>
      <c r="C27" s="35">
        <f>C25</f>
        <v>-659600</v>
      </c>
      <c r="D27" s="35">
        <f>D25</f>
        <v>4140000</v>
      </c>
      <c r="E27" s="35">
        <f>E25</f>
        <v>16690000</v>
      </c>
      <c r="F27" s="74">
        <f>IFERROR((D27-C27)/C27,"—")</f>
        <v>-7.2765312310491206</v>
      </c>
      <c r="G27" s="74">
        <f>IFERROR((E27-D27)/D27,"—")</f>
        <v>3.031400966183575</v>
      </c>
      <c r="H27" s="24" t="s">
        <v>336</v>
      </c>
    </row>
  </sheetData>
  <mergeCells count="4">
    <mergeCell ref="B1:G1"/>
    <mergeCell ref="B4:G4"/>
    <mergeCell ref="B10:G10"/>
    <mergeCell ref="B17:G17"/>
  </mergeCell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5" customWidth="1"/>
    <col min="3" max="7" width="18" customWidth="1"/>
    <col min="8" max="8" width="22" customWidth="1"/>
  </cols>
  <sheetData>
    <row r="1" spans="2:8" ht="30" customHeight="1" x14ac:dyDescent="0.2">
      <c r="B1" s="8" t="s">
        <v>337</v>
      </c>
      <c r="C1" s="8"/>
      <c r="D1" s="8"/>
      <c r="E1" s="8"/>
      <c r="F1" s="8"/>
      <c r="G1" s="8"/>
      <c r="H1" s="8"/>
    </row>
    <row r="3" spans="2:8" ht="15" customHeight="1" x14ac:dyDescent="0.2">
      <c r="B3" s="28" t="s">
        <v>18</v>
      </c>
      <c r="C3" s="28" t="s">
        <v>19</v>
      </c>
      <c r="D3" s="28" t="s">
        <v>307</v>
      </c>
      <c r="E3" s="28" t="s">
        <v>20</v>
      </c>
      <c r="F3" s="28" t="s">
        <v>338</v>
      </c>
      <c r="G3" s="28" t="s">
        <v>21</v>
      </c>
      <c r="H3" s="28" t="s">
        <v>37</v>
      </c>
    </row>
    <row r="4" spans="2:8" ht="15" customHeight="1" x14ac:dyDescent="0.2">
      <c r="B4" s="11" t="s">
        <v>339</v>
      </c>
      <c r="C4" s="11"/>
      <c r="D4" s="11"/>
      <c r="E4" s="11"/>
      <c r="F4" s="11"/>
      <c r="G4" s="11"/>
      <c r="H4" s="11"/>
    </row>
    <row r="5" spans="2:8" ht="19.5" customHeight="1" x14ac:dyDescent="0.2">
      <c r="B5" s="17" t="s">
        <v>311</v>
      </c>
      <c r="C5" s="57">
        <v>12</v>
      </c>
      <c r="D5" s="57">
        <v>30</v>
      </c>
      <c r="E5" s="57">
        <v>60</v>
      </c>
      <c r="F5" s="57">
        <v>120</v>
      </c>
      <c r="G5" s="57">
        <v>200</v>
      </c>
      <c r="H5" s="24" t="s">
        <v>340</v>
      </c>
    </row>
    <row r="6" spans="2:8" ht="19.5" customHeight="1" x14ac:dyDescent="0.2">
      <c r="B6" s="17" t="s">
        <v>341</v>
      </c>
      <c r="C6" s="57">
        <v>800</v>
      </c>
      <c r="D6" s="57">
        <v>900</v>
      </c>
      <c r="E6" s="57">
        <v>1000</v>
      </c>
      <c r="F6" s="57">
        <v>1100</v>
      </c>
      <c r="G6" s="57">
        <v>1200</v>
      </c>
      <c r="H6" s="24" t="s">
        <v>342</v>
      </c>
    </row>
    <row r="7" spans="2:8" ht="19.5" customHeight="1" x14ac:dyDescent="0.2">
      <c r="B7" s="17" t="s">
        <v>315</v>
      </c>
      <c r="C7" s="57">
        <v>1800</v>
      </c>
      <c r="D7" s="57">
        <v>2000</v>
      </c>
      <c r="E7" s="57">
        <v>2300</v>
      </c>
      <c r="F7" s="57">
        <v>2700</v>
      </c>
      <c r="G7" s="57">
        <v>3300</v>
      </c>
      <c r="H7" s="24" t="s">
        <v>343</v>
      </c>
    </row>
    <row r="8" spans="2:8" ht="19.5" customHeight="1" x14ac:dyDescent="0.2">
      <c r="B8" s="17" t="s">
        <v>166</v>
      </c>
      <c r="C8" s="64">
        <v>0.18</v>
      </c>
      <c r="D8" s="64">
        <v>0.18</v>
      </c>
      <c r="E8" s="64">
        <v>0.18</v>
      </c>
      <c r="F8" s="64">
        <v>0.18</v>
      </c>
      <c r="G8" s="64">
        <v>0.18</v>
      </c>
      <c r="H8" s="24" t="s">
        <v>344</v>
      </c>
    </row>
    <row r="10" spans="2:8" ht="15" customHeight="1" x14ac:dyDescent="0.2">
      <c r="B10" s="11" t="s">
        <v>318</v>
      </c>
      <c r="C10" s="11"/>
      <c r="D10" s="11"/>
      <c r="E10" s="11"/>
      <c r="F10" s="11"/>
      <c r="G10" s="11"/>
      <c r="H10" s="11"/>
    </row>
    <row r="11" spans="2:8" ht="19.5" customHeight="1" x14ac:dyDescent="0.2">
      <c r="B11" s="17" t="s">
        <v>319</v>
      </c>
      <c r="C11" s="34">
        <f>C5*C6*C7*C8</f>
        <v>3110400</v>
      </c>
      <c r="D11" s="34">
        <f>D5*D6*D7*D8</f>
        <v>9720000</v>
      </c>
      <c r="E11" s="34">
        <f>E5*E6*E7*E8</f>
        <v>24840000</v>
      </c>
      <c r="F11" s="34">
        <f>F5*F6*F7*F8</f>
        <v>64152000</v>
      </c>
      <c r="G11" s="34">
        <f>G5*G6*G7*G8</f>
        <v>142560000</v>
      </c>
      <c r="H11" s="24" t="s">
        <v>26</v>
      </c>
    </row>
    <row r="12" spans="2:8" ht="19.5" customHeight="1" x14ac:dyDescent="0.2">
      <c r="B12" s="17" t="s">
        <v>345</v>
      </c>
      <c r="C12" s="34">
        <f>MAX(C5-2,0)*125000</f>
        <v>1250000</v>
      </c>
      <c r="D12" s="34">
        <f>MAX(D5-2,0)*140000</f>
        <v>3920000</v>
      </c>
      <c r="E12" s="34">
        <f>MAX(E5-2,0)*155000</f>
        <v>8990000</v>
      </c>
      <c r="F12" s="34">
        <f>MAX(F5-2,0)*170000</f>
        <v>20060000</v>
      </c>
      <c r="G12" s="34">
        <f>MAX(G5-2,0)*185000</f>
        <v>36630000</v>
      </c>
      <c r="H12" s="24" t="s">
        <v>26</v>
      </c>
    </row>
    <row r="13" spans="2:8" ht="19.5" customHeight="1" x14ac:dyDescent="0.2">
      <c r="B13" s="17" t="s">
        <v>320</v>
      </c>
      <c r="C13" s="57">
        <v>540000</v>
      </c>
      <c r="D13" s="57">
        <v>1200000</v>
      </c>
      <c r="E13" s="57">
        <v>2400000</v>
      </c>
      <c r="F13" s="57">
        <v>4200000</v>
      </c>
      <c r="G13" s="57">
        <v>7200000</v>
      </c>
      <c r="H13" s="24" t="s">
        <v>75</v>
      </c>
    </row>
    <row r="14" spans="2:8" ht="19.5" customHeight="1" x14ac:dyDescent="0.2">
      <c r="B14" s="17" t="s">
        <v>322</v>
      </c>
      <c r="C14" s="57">
        <v>500000</v>
      </c>
      <c r="D14" s="57">
        <v>1000000</v>
      </c>
      <c r="E14" s="57">
        <v>2000000</v>
      </c>
      <c r="F14" s="57">
        <v>3500000</v>
      </c>
      <c r="G14" s="57">
        <v>6000000</v>
      </c>
      <c r="H14" s="24" t="s">
        <v>75</v>
      </c>
    </row>
    <row r="15" spans="2:8" ht="19.5" customHeight="1" x14ac:dyDescent="0.2">
      <c r="B15" s="25" t="s">
        <v>58</v>
      </c>
      <c r="C15" s="35">
        <f>SUM(C11:C14)</f>
        <v>5400400</v>
      </c>
      <c r="D15" s="35">
        <f>SUM(D11:D14)</f>
        <v>15840000</v>
      </c>
      <c r="E15" s="35">
        <f>SUM(E11:E14)</f>
        <v>38230000</v>
      </c>
      <c r="F15" s="35">
        <f>SUM(F11:F14)</f>
        <v>91912000</v>
      </c>
      <c r="G15" s="35">
        <f>SUM(G11:G14)</f>
        <v>192390000</v>
      </c>
      <c r="H15" s="24" t="s">
        <v>26</v>
      </c>
    </row>
    <row r="17" spans="2:8" ht="15" customHeight="1" x14ac:dyDescent="0.2">
      <c r="B17" s="11" t="s">
        <v>324</v>
      </c>
      <c r="C17" s="11"/>
      <c r="D17" s="11"/>
      <c r="E17" s="11"/>
      <c r="F17" s="11"/>
      <c r="G17" s="11"/>
      <c r="H17" s="11"/>
    </row>
    <row r="18" spans="2:8" ht="19.5" customHeight="1" x14ac:dyDescent="0.2">
      <c r="B18" s="17" t="s">
        <v>325</v>
      </c>
      <c r="C18" s="57">
        <v>1980000</v>
      </c>
      <c r="D18" s="57">
        <v>4500000</v>
      </c>
      <c r="E18" s="57">
        <v>8400000</v>
      </c>
      <c r="F18" s="57">
        <v>15600000</v>
      </c>
      <c r="G18" s="57">
        <v>24000000</v>
      </c>
      <c r="H18" s="24" t="s">
        <v>346</v>
      </c>
    </row>
    <row r="19" spans="2:8" ht="19.5" customHeight="1" x14ac:dyDescent="0.2">
      <c r="B19" s="17" t="s">
        <v>327</v>
      </c>
      <c r="C19" s="57">
        <v>480000</v>
      </c>
      <c r="D19" s="57">
        <v>720000</v>
      </c>
      <c r="E19" s="57">
        <v>1200000</v>
      </c>
      <c r="F19" s="57">
        <v>1800000</v>
      </c>
      <c r="G19" s="57">
        <v>2400000</v>
      </c>
      <c r="H19" s="24" t="s">
        <v>347</v>
      </c>
    </row>
    <row r="20" spans="2:8" ht="19.5" customHeight="1" x14ac:dyDescent="0.2">
      <c r="B20" s="17" t="s">
        <v>328</v>
      </c>
      <c r="C20" s="57">
        <v>3000000</v>
      </c>
      <c r="D20" s="57">
        <v>5400000</v>
      </c>
      <c r="E20" s="57">
        <v>9900000</v>
      </c>
      <c r="F20" s="57">
        <v>17100000</v>
      </c>
      <c r="G20" s="57">
        <v>22500000</v>
      </c>
      <c r="H20" s="24" t="s">
        <v>348</v>
      </c>
    </row>
    <row r="21" spans="2:8" ht="19.5" customHeight="1" x14ac:dyDescent="0.2">
      <c r="B21" s="17" t="s">
        <v>330</v>
      </c>
      <c r="C21" s="57">
        <v>360000</v>
      </c>
      <c r="D21" s="57">
        <v>720000</v>
      </c>
      <c r="E21" s="57">
        <v>1440000</v>
      </c>
      <c r="F21" s="57">
        <v>2400000</v>
      </c>
      <c r="G21" s="57">
        <v>4200000</v>
      </c>
      <c r="H21" s="24" t="s">
        <v>75</v>
      </c>
    </row>
    <row r="22" spans="2:8" ht="19.5" customHeight="1" x14ac:dyDescent="0.2">
      <c r="B22" s="17" t="s">
        <v>331</v>
      </c>
      <c r="C22" s="57">
        <v>240000</v>
      </c>
      <c r="D22" s="57">
        <v>360000</v>
      </c>
      <c r="E22" s="57">
        <v>600000</v>
      </c>
      <c r="F22" s="57">
        <v>900000</v>
      </c>
      <c r="G22" s="57">
        <v>1500000</v>
      </c>
      <c r="H22" s="24" t="s">
        <v>75</v>
      </c>
    </row>
    <row r="23" spans="2:8" ht="19.5" customHeight="1" x14ac:dyDescent="0.2">
      <c r="B23" s="25" t="s">
        <v>332</v>
      </c>
      <c r="C23" s="35">
        <f>SUM(C18:C22)</f>
        <v>6060000</v>
      </c>
      <c r="D23" s="35">
        <f>SUM(D18:D22)</f>
        <v>11700000</v>
      </c>
      <c r="E23" s="35">
        <f>SUM(E18:E22)</f>
        <v>21540000</v>
      </c>
      <c r="F23" s="35">
        <f>SUM(F18:F22)</f>
        <v>37800000</v>
      </c>
      <c r="G23" s="35">
        <f>SUM(G18:G22)</f>
        <v>54600000</v>
      </c>
      <c r="H23" s="24" t="s">
        <v>26</v>
      </c>
    </row>
    <row r="25" spans="2:8" ht="19.5" customHeight="1" x14ac:dyDescent="0.2">
      <c r="B25" s="25" t="s">
        <v>333</v>
      </c>
      <c r="C25" s="35">
        <f>C15-C23</f>
        <v>-659600</v>
      </c>
      <c r="D25" s="35">
        <f>D15-D23</f>
        <v>4140000</v>
      </c>
      <c r="E25" s="35">
        <f>E15-E23</f>
        <v>16690000</v>
      </c>
      <c r="F25" s="35">
        <f>F15-F23</f>
        <v>54112000</v>
      </c>
      <c r="G25" s="35">
        <f>G15-G23</f>
        <v>137790000</v>
      </c>
      <c r="H25" s="24" t="s">
        <v>26</v>
      </c>
    </row>
    <row r="26" spans="2:8" ht="19.5" customHeight="1" x14ac:dyDescent="0.2">
      <c r="B26" s="17" t="s">
        <v>334</v>
      </c>
      <c r="C26" s="75">
        <f>IFERROR(C25/C15,0)</f>
        <v>-0.12213910080734761</v>
      </c>
      <c r="D26" s="75">
        <f>IFERROR(D25/D15,0)</f>
        <v>0.26136363636363635</v>
      </c>
      <c r="E26" s="75">
        <f>IFERROR(E25/E15,0)</f>
        <v>0.43656814020402823</v>
      </c>
      <c r="F26" s="75">
        <f>IFERROR(F25/F15,0)</f>
        <v>0.5887370528331447</v>
      </c>
      <c r="G26" s="75">
        <f>IFERROR(G25/G15,0)</f>
        <v>0.71620146577264931</v>
      </c>
      <c r="H26" s="24" t="s">
        <v>26</v>
      </c>
    </row>
    <row r="27" spans="2:8" ht="19.5" customHeight="1" x14ac:dyDescent="0.2">
      <c r="B27" s="25" t="s">
        <v>349</v>
      </c>
      <c r="C27" s="35">
        <f>C25</f>
        <v>-659600</v>
      </c>
      <c r="D27" s="35">
        <f>D25</f>
        <v>4140000</v>
      </c>
      <c r="E27" s="35">
        <f>E25</f>
        <v>16690000</v>
      </c>
      <c r="F27" s="35">
        <f>F25</f>
        <v>54112000</v>
      </c>
      <c r="G27" s="35">
        <f>G25</f>
        <v>137790000</v>
      </c>
      <c r="H27" s="24" t="s">
        <v>350</v>
      </c>
    </row>
    <row r="28" spans="2:8" ht="19.5" customHeight="1" x14ac:dyDescent="0.2">
      <c r="B28" s="25" t="s">
        <v>351</v>
      </c>
      <c r="C28" s="58">
        <f>IFERROR(C27/C15,0)</f>
        <v>-0.12213910080734761</v>
      </c>
      <c r="D28" s="58">
        <f>IFERROR(D27/D15,0)</f>
        <v>0.26136363636363635</v>
      </c>
      <c r="E28" s="58">
        <f>IFERROR(E27/E15,0)</f>
        <v>0.43656814020402823</v>
      </c>
      <c r="F28" s="58">
        <f>IFERROR(F27/F15,0)</f>
        <v>0.5887370528331447</v>
      </c>
      <c r="G28" s="58">
        <f>IFERROR(G27/G15,0)</f>
        <v>0.71620146577264931</v>
      </c>
      <c r="H28" s="24" t="s">
        <v>26</v>
      </c>
    </row>
  </sheetData>
  <mergeCells count="4">
    <mergeCell ref="B1:H1"/>
    <mergeCell ref="B4:H4"/>
    <mergeCell ref="B10:H10"/>
    <mergeCell ref="B17:H17"/>
  </mergeCells>
  <pageMargins left="0.75" right="0.75" top="1" bottom="1" header="0.511811023622047" footer="0.511811023622047"/>
  <pageSetup paperSize="9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G27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6" width="18" customWidth="1"/>
    <col min="7" max="7" width="22" customWidth="1"/>
  </cols>
  <sheetData>
    <row r="1" spans="2:7" ht="30" customHeight="1" x14ac:dyDescent="0.2">
      <c r="B1" s="8" t="s">
        <v>352</v>
      </c>
      <c r="C1" s="8"/>
      <c r="D1" s="8"/>
      <c r="E1" s="8"/>
      <c r="F1" s="8"/>
      <c r="G1" s="8"/>
    </row>
    <row r="3" spans="2:7" ht="15" customHeight="1" x14ac:dyDescent="0.2">
      <c r="B3" s="28" t="s">
        <v>18</v>
      </c>
      <c r="C3" s="76" t="s">
        <v>152</v>
      </c>
      <c r="D3" s="77" t="s">
        <v>153</v>
      </c>
      <c r="E3" s="78" t="s">
        <v>154</v>
      </c>
      <c r="F3" s="28" t="s">
        <v>22</v>
      </c>
    </row>
    <row r="4" spans="2:7" ht="15" customHeight="1" x14ac:dyDescent="0.2">
      <c r="B4" s="11" t="s">
        <v>353</v>
      </c>
      <c r="C4" s="11"/>
      <c r="D4" s="11"/>
      <c r="E4" s="11"/>
      <c r="F4" s="11"/>
      <c r="G4" s="11"/>
    </row>
    <row r="5" spans="2:7" ht="19.5" customHeight="1" x14ac:dyDescent="0.2">
      <c r="B5" s="17" t="s">
        <v>354</v>
      </c>
      <c r="C5" s="63">
        <v>6</v>
      </c>
      <c r="D5" s="63">
        <v>12</v>
      </c>
      <c r="E5" s="63">
        <v>20</v>
      </c>
      <c r="F5" s="79" t="s">
        <v>355</v>
      </c>
    </row>
    <row r="6" spans="2:7" ht="19.5" customHeight="1" x14ac:dyDescent="0.2">
      <c r="B6" s="17" t="s">
        <v>356</v>
      </c>
      <c r="C6" s="63">
        <v>600</v>
      </c>
      <c r="D6" s="63">
        <v>800</v>
      </c>
      <c r="E6" s="63">
        <v>1000</v>
      </c>
      <c r="F6" s="79" t="s">
        <v>27</v>
      </c>
    </row>
    <row r="7" spans="2:7" ht="19.5" customHeight="1" x14ac:dyDescent="0.2">
      <c r="B7" s="17" t="s">
        <v>357</v>
      </c>
      <c r="C7" s="57">
        <v>900</v>
      </c>
      <c r="D7" s="57">
        <v>1800</v>
      </c>
      <c r="E7" s="57">
        <v>2700</v>
      </c>
      <c r="F7" s="79" t="s">
        <v>31</v>
      </c>
    </row>
    <row r="8" spans="2:7" ht="19.5" customHeight="1" x14ac:dyDescent="0.2">
      <c r="B8" s="17" t="s">
        <v>166</v>
      </c>
      <c r="C8" s="64">
        <v>0.15</v>
      </c>
      <c r="D8" s="64">
        <v>0.18</v>
      </c>
      <c r="E8" s="64">
        <v>0.2</v>
      </c>
      <c r="F8" s="79" t="s">
        <v>191</v>
      </c>
    </row>
    <row r="10" spans="2:7" ht="15" customHeight="1" x14ac:dyDescent="0.2">
      <c r="B10" s="11" t="s">
        <v>358</v>
      </c>
      <c r="C10" s="11"/>
      <c r="D10" s="11"/>
      <c r="E10" s="11"/>
      <c r="F10" s="11"/>
      <c r="G10" s="11"/>
    </row>
    <row r="11" spans="2:7" ht="19.5" customHeight="1" x14ac:dyDescent="0.2">
      <c r="B11" s="17" t="s">
        <v>359</v>
      </c>
      <c r="C11" s="49">
        <f>C5*C6</f>
        <v>3600</v>
      </c>
      <c r="D11" s="49">
        <f>D5*D6</f>
        <v>9600</v>
      </c>
      <c r="E11" s="49">
        <f>E5*E6</f>
        <v>20000</v>
      </c>
      <c r="F11" s="79" t="s">
        <v>27</v>
      </c>
    </row>
    <row r="12" spans="2:7" ht="19.5" customHeight="1" x14ac:dyDescent="0.2">
      <c r="B12" s="17" t="s">
        <v>360</v>
      </c>
      <c r="C12" s="34">
        <f>C5*C6*C7</f>
        <v>3240000</v>
      </c>
      <c r="D12" s="34">
        <f>D5*D6*D7</f>
        <v>17280000</v>
      </c>
      <c r="E12" s="34">
        <f>E5*E6*E7</f>
        <v>54000000</v>
      </c>
      <c r="F12" s="79" t="s">
        <v>31</v>
      </c>
    </row>
    <row r="13" spans="2:7" ht="19.5" customHeight="1" x14ac:dyDescent="0.2">
      <c r="B13" s="17" t="s">
        <v>361</v>
      </c>
      <c r="C13" s="34">
        <f>C12*C8</f>
        <v>486000</v>
      </c>
      <c r="D13" s="34">
        <f>D12*D8</f>
        <v>3110400</v>
      </c>
      <c r="E13" s="34">
        <f>E12*E8</f>
        <v>10800000</v>
      </c>
      <c r="F13" s="79" t="s">
        <v>31</v>
      </c>
    </row>
    <row r="14" spans="2:7" ht="19.5" customHeight="1" x14ac:dyDescent="0.2">
      <c r="B14" s="17" t="s">
        <v>362</v>
      </c>
      <c r="C14" s="34">
        <f>MAX(C5-2,0)*75000</f>
        <v>300000</v>
      </c>
      <c r="D14" s="34">
        <f>MAX(D5-2,0)*125000</f>
        <v>1250000</v>
      </c>
      <c r="E14" s="34">
        <f>MAX(E5-2,0)*200000</f>
        <v>3600000</v>
      </c>
      <c r="F14" s="79" t="s">
        <v>31</v>
      </c>
    </row>
    <row r="15" spans="2:7" ht="19.5" customHeight="1" x14ac:dyDescent="0.2">
      <c r="B15" s="17" t="s">
        <v>363</v>
      </c>
      <c r="C15" s="57">
        <v>300000</v>
      </c>
      <c r="D15" s="57">
        <v>540000</v>
      </c>
      <c r="E15" s="57">
        <v>900000</v>
      </c>
      <c r="F15" s="79" t="s">
        <v>31</v>
      </c>
    </row>
    <row r="16" spans="2:7" ht="19.5" customHeight="1" x14ac:dyDescent="0.2">
      <c r="B16" s="25" t="s">
        <v>58</v>
      </c>
      <c r="C16" s="35">
        <f>SUM(C13:C15)</f>
        <v>1086000</v>
      </c>
      <c r="D16" s="35">
        <f>SUM(D13:D15)</f>
        <v>4900400</v>
      </c>
      <c r="E16" s="35">
        <f>SUM(E13:E15)</f>
        <v>15300000</v>
      </c>
      <c r="F16" s="79" t="s">
        <v>31</v>
      </c>
    </row>
    <row r="17" spans="2:7" ht="19.5" customHeight="1" x14ac:dyDescent="0.2">
      <c r="B17" s="17" t="s">
        <v>364</v>
      </c>
      <c r="C17" s="57">
        <v>4200000</v>
      </c>
      <c r="D17" s="57">
        <v>6060000</v>
      </c>
      <c r="E17" s="57">
        <v>7500000</v>
      </c>
      <c r="F17" s="79" t="s">
        <v>31</v>
      </c>
    </row>
    <row r="18" spans="2:7" ht="19.5" customHeight="1" x14ac:dyDescent="0.2">
      <c r="B18" s="25" t="s">
        <v>333</v>
      </c>
      <c r="C18" s="35">
        <f>C16-C17</f>
        <v>-3114000</v>
      </c>
      <c r="D18" s="35">
        <f>D16-D17</f>
        <v>-1159600</v>
      </c>
      <c r="E18" s="35">
        <f>E16-E17</f>
        <v>7800000</v>
      </c>
      <c r="F18" s="79" t="s">
        <v>31</v>
      </c>
    </row>
    <row r="19" spans="2:7" ht="19.5" customHeight="1" x14ac:dyDescent="0.2">
      <c r="B19" s="25" t="s">
        <v>349</v>
      </c>
      <c r="C19" s="35">
        <f>C18</f>
        <v>-3114000</v>
      </c>
      <c r="D19" s="35">
        <f>D18</f>
        <v>-1159600</v>
      </c>
      <c r="E19" s="35">
        <f>E18</f>
        <v>7800000</v>
      </c>
      <c r="F19" s="79" t="s">
        <v>31</v>
      </c>
    </row>
    <row r="20" spans="2:7" ht="19.5" customHeight="1" x14ac:dyDescent="0.2">
      <c r="B20" s="17" t="s">
        <v>351</v>
      </c>
      <c r="C20" s="75">
        <f>IFERROR(C18/C16,0)</f>
        <v>-2.867403314917127</v>
      </c>
      <c r="D20" s="75">
        <f>IFERROR(D18/D16,0)</f>
        <v>-0.23663374418414823</v>
      </c>
      <c r="E20" s="75">
        <f>IFERROR(E18/E16,0)</f>
        <v>0.50980392156862742</v>
      </c>
      <c r="F20" s="79" t="s">
        <v>191</v>
      </c>
    </row>
    <row r="22" spans="2:7" ht="15" customHeight="1" x14ac:dyDescent="0.2">
      <c r="B22" s="11" t="s">
        <v>365</v>
      </c>
      <c r="C22" s="11"/>
      <c r="D22" s="11"/>
      <c r="E22" s="11"/>
      <c r="F22" s="11"/>
      <c r="G22" s="11"/>
    </row>
    <row r="23" spans="2:7" ht="19.5" customHeight="1" x14ac:dyDescent="0.2">
      <c r="B23" s="17" t="s">
        <v>311</v>
      </c>
      <c r="C23" s="63">
        <v>80</v>
      </c>
      <c r="D23" s="63">
        <v>200</v>
      </c>
      <c r="E23" s="63">
        <v>400</v>
      </c>
      <c r="F23" s="79" t="s">
        <v>355</v>
      </c>
    </row>
    <row r="24" spans="2:7" ht="19.5" customHeight="1" x14ac:dyDescent="0.2">
      <c r="B24" s="25" t="s">
        <v>58</v>
      </c>
      <c r="C24" s="35">
        <f>C22*800*1500*0.15+C22*100000</f>
        <v>0</v>
      </c>
      <c r="D24" s="35">
        <f>D22*1200*2200*0.18+D22*150000</f>
        <v>0</v>
      </c>
      <c r="E24" s="35">
        <f>E22*1400*3500*0.2+E22*200000</f>
        <v>0</v>
      </c>
      <c r="F24" s="79" t="s">
        <v>31</v>
      </c>
    </row>
    <row r="25" spans="2:7" ht="19.5" customHeight="1" x14ac:dyDescent="0.2">
      <c r="B25" s="17" t="s">
        <v>364</v>
      </c>
      <c r="C25" s="49">
        <f>C23*0.45</f>
        <v>36</v>
      </c>
      <c r="D25" s="49">
        <f>D23*0.42</f>
        <v>84</v>
      </c>
      <c r="E25" s="49">
        <f>E23*0.4</f>
        <v>160</v>
      </c>
      <c r="F25" s="79" t="s">
        <v>366</v>
      </c>
    </row>
    <row r="26" spans="2:7" ht="19.5" customHeight="1" x14ac:dyDescent="0.2">
      <c r="B26" s="25" t="s">
        <v>333</v>
      </c>
      <c r="C26" s="35">
        <f>C23-C24</f>
        <v>80</v>
      </c>
      <c r="D26" s="35">
        <f>D23-D24</f>
        <v>200</v>
      </c>
      <c r="E26" s="35">
        <f>E23-E24</f>
        <v>400</v>
      </c>
      <c r="F26" s="79" t="s">
        <v>31</v>
      </c>
    </row>
    <row r="27" spans="2:7" ht="19.5" customHeight="1" x14ac:dyDescent="0.2">
      <c r="B27" s="17" t="s">
        <v>351</v>
      </c>
      <c r="C27" s="75">
        <f>IFERROR(C25/C23,0)</f>
        <v>0.45</v>
      </c>
      <c r="D27" s="75">
        <f>IFERROR(D25/D23,0)</f>
        <v>0.42</v>
      </c>
      <c r="E27" s="75">
        <f>IFERROR(E25/E23,0)</f>
        <v>0.4</v>
      </c>
      <c r="F27" s="79" t="s">
        <v>191</v>
      </c>
    </row>
  </sheetData>
  <mergeCells count="4">
    <mergeCell ref="B1:G1"/>
    <mergeCell ref="B4:G4"/>
    <mergeCell ref="B10:G10"/>
    <mergeCell ref="B22:G22"/>
  </mergeCell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I3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8" width="15" customWidth="1"/>
    <col min="9" max="9" width="22" customWidth="1"/>
  </cols>
  <sheetData>
    <row r="1" spans="2:9" ht="30" customHeight="1" x14ac:dyDescent="0.2">
      <c r="B1" s="8" t="s">
        <v>367</v>
      </c>
      <c r="C1" s="8"/>
      <c r="D1" s="8"/>
      <c r="E1" s="8"/>
      <c r="F1" s="8"/>
      <c r="G1" s="8"/>
      <c r="H1" s="8"/>
      <c r="I1" s="8"/>
    </row>
    <row r="3" spans="2:9" ht="15" customHeight="1" x14ac:dyDescent="0.2">
      <c r="B3" s="11" t="s">
        <v>368</v>
      </c>
      <c r="C3" s="11"/>
      <c r="D3" s="11"/>
      <c r="E3" s="11"/>
      <c r="F3" s="11"/>
      <c r="G3" s="11"/>
      <c r="H3" s="11"/>
      <c r="I3" s="11"/>
    </row>
    <row r="4" spans="2:9" ht="15" customHeight="1" x14ac:dyDescent="0.2">
      <c r="B4" s="15" t="s">
        <v>369</v>
      </c>
      <c r="C4" s="63">
        <v>12</v>
      </c>
    </row>
    <row r="5" spans="2:9" ht="15" customHeight="1" x14ac:dyDescent="0.2">
      <c r="B5" s="15" t="s">
        <v>370</v>
      </c>
      <c r="C5" s="63">
        <v>800</v>
      </c>
    </row>
    <row r="6" spans="2:9" ht="15" customHeight="1" x14ac:dyDescent="0.2">
      <c r="B6" s="15" t="s">
        <v>371</v>
      </c>
      <c r="C6" s="57">
        <v>1800</v>
      </c>
    </row>
    <row r="7" spans="2:9" ht="15" customHeight="1" x14ac:dyDescent="0.2">
      <c r="B7" s="15" t="s">
        <v>372</v>
      </c>
      <c r="C7" s="64">
        <v>0.18</v>
      </c>
    </row>
    <row r="8" spans="2:9" ht="15" customHeight="1" x14ac:dyDescent="0.2">
      <c r="B8" s="15" t="s">
        <v>373</v>
      </c>
      <c r="C8" s="34">
        <f>C4*C5*C6*C7</f>
        <v>3110400</v>
      </c>
    </row>
    <row r="11" spans="2:9" ht="15" customHeight="1" x14ac:dyDescent="0.2">
      <c r="B11" s="11" t="s">
        <v>374</v>
      </c>
      <c r="C11" s="11"/>
      <c r="D11" s="11"/>
      <c r="E11" s="11"/>
      <c r="F11" s="11"/>
      <c r="G11" s="11"/>
      <c r="H11" s="11"/>
      <c r="I11" s="11"/>
    </row>
    <row r="12" spans="2:9" ht="15" customHeight="1" x14ac:dyDescent="0.2">
      <c r="B12" s="77" t="s">
        <v>375</v>
      </c>
      <c r="C12" s="77" t="s">
        <v>376</v>
      </c>
      <c r="D12" s="77" t="s">
        <v>377</v>
      </c>
      <c r="E12" s="77" t="s">
        <v>378</v>
      </c>
      <c r="F12" s="77" t="s">
        <v>379</v>
      </c>
      <c r="G12" s="77" t="s">
        <v>380</v>
      </c>
      <c r="H12" s="77" t="s">
        <v>381</v>
      </c>
    </row>
    <row r="13" spans="2:9" ht="15" customHeight="1" x14ac:dyDescent="0.2">
      <c r="B13" s="80" t="s">
        <v>382</v>
      </c>
      <c r="C13" s="81">
        <v>518400</v>
      </c>
      <c r="D13" s="81">
        <v>777600</v>
      </c>
      <c r="E13" s="81">
        <v>1036800</v>
      </c>
      <c r="F13" s="81">
        <v>1296000</v>
      </c>
      <c r="G13" s="81">
        <v>1555200</v>
      </c>
      <c r="H13" s="81">
        <v>1728000</v>
      </c>
    </row>
    <row r="14" spans="2:9" ht="15" customHeight="1" x14ac:dyDescent="0.2">
      <c r="B14" s="80" t="s">
        <v>383</v>
      </c>
      <c r="C14" s="81">
        <v>777600</v>
      </c>
      <c r="D14" s="81">
        <v>1166400</v>
      </c>
      <c r="E14" s="81">
        <v>1555200</v>
      </c>
      <c r="F14" s="81">
        <v>1944000</v>
      </c>
      <c r="G14" s="82">
        <v>2332800</v>
      </c>
      <c r="H14" s="82">
        <v>2592000</v>
      </c>
    </row>
    <row r="15" spans="2:9" ht="15" customHeight="1" x14ac:dyDescent="0.2">
      <c r="B15" s="80" t="s">
        <v>384</v>
      </c>
      <c r="C15" s="81">
        <v>1036800</v>
      </c>
      <c r="D15" s="81">
        <v>1555200</v>
      </c>
      <c r="E15" s="82">
        <v>2073600</v>
      </c>
      <c r="F15" s="82">
        <v>2592000</v>
      </c>
      <c r="G15" s="82">
        <v>3110400</v>
      </c>
      <c r="H15" s="82">
        <v>3456000</v>
      </c>
    </row>
    <row r="16" spans="2:9" ht="15" customHeight="1" x14ac:dyDescent="0.2">
      <c r="B16" s="80" t="s">
        <v>385</v>
      </c>
      <c r="C16" s="81">
        <v>1296000</v>
      </c>
      <c r="D16" s="81">
        <v>1944000</v>
      </c>
      <c r="E16" s="82">
        <v>2592000</v>
      </c>
      <c r="F16" s="82">
        <v>3240000</v>
      </c>
      <c r="G16" s="82">
        <v>3888000</v>
      </c>
      <c r="H16" s="83">
        <v>4320000</v>
      </c>
    </row>
    <row r="17" spans="2:9" ht="15" customHeight="1" x14ac:dyDescent="0.2">
      <c r="B17" s="80" t="s">
        <v>386</v>
      </c>
      <c r="C17" s="81">
        <v>1555200</v>
      </c>
      <c r="D17" s="82">
        <v>2332800</v>
      </c>
      <c r="E17" s="82">
        <v>3110400</v>
      </c>
      <c r="F17" s="82">
        <v>3888000</v>
      </c>
      <c r="G17" s="83">
        <v>4665600</v>
      </c>
      <c r="H17" s="83">
        <v>5184000</v>
      </c>
    </row>
    <row r="18" spans="2:9" ht="15" customHeight="1" x14ac:dyDescent="0.2">
      <c r="B18" s="80" t="s">
        <v>387</v>
      </c>
      <c r="C18" s="81">
        <v>1814400</v>
      </c>
      <c r="D18" s="82">
        <v>2721600</v>
      </c>
      <c r="E18" s="82">
        <v>3628800</v>
      </c>
      <c r="F18" s="83">
        <v>4536000</v>
      </c>
      <c r="G18" s="83">
        <v>5443200</v>
      </c>
      <c r="H18" s="83">
        <v>6048000</v>
      </c>
    </row>
    <row r="19" spans="2:9" ht="15" customHeight="1" x14ac:dyDescent="0.2">
      <c r="B19" s="80" t="s">
        <v>388</v>
      </c>
      <c r="C19" s="82">
        <v>2073600</v>
      </c>
      <c r="D19" s="82">
        <v>3110400</v>
      </c>
      <c r="E19" s="83">
        <v>4147200</v>
      </c>
      <c r="F19" s="83">
        <v>5184000</v>
      </c>
      <c r="G19" s="83">
        <v>6220800</v>
      </c>
      <c r="H19" s="83">
        <v>6912000</v>
      </c>
    </row>
    <row r="20" spans="2:9" ht="15" customHeight="1" x14ac:dyDescent="0.2">
      <c r="B20" s="80" t="s">
        <v>389</v>
      </c>
      <c r="C20" s="82">
        <v>2592000</v>
      </c>
      <c r="D20" s="82">
        <v>3888000</v>
      </c>
      <c r="E20" s="83">
        <v>5184000</v>
      </c>
      <c r="F20" s="83">
        <v>6480000</v>
      </c>
      <c r="G20" s="83">
        <v>7776000</v>
      </c>
      <c r="H20" s="83">
        <v>8640000</v>
      </c>
    </row>
    <row r="23" spans="2:9" ht="15" customHeight="1" x14ac:dyDescent="0.2">
      <c r="B23" s="11" t="s">
        <v>390</v>
      </c>
      <c r="C23" s="11"/>
      <c r="D23" s="11"/>
      <c r="E23" s="11"/>
      <c r="F23" s="11"/>
      <c r="G23" s="11"/>
      <c r="H23" s="11"/>
      <c r="I23" s="11"/>
    </row>
    <row r="24" spans="2:9" ht="15" customHeight="1" x14ac:dyDescent="0.2">
      <c r="B24" s="77" t="s">
        <v>391</v>
      </c>
      <c r="C24" s="77" t="s">
        <v>376</v>
      </c>
      <c r="D24" s="77" t="s">
        <v>377</v>
      </c>
      <c r="E24" s="77" t="s">
        <v>378</v>
      </c>
      <c r="F24" s="77" t="s">
        <v>379</v>
      </c>
      <c r="G24" s="77" t="s">
        <v>380</v>
      </c>
      <c r="H24" s="77" t="s">
        <v>381</v>
      </c>
    </row>
    <row r="25" spans="2:9" ht="15" customHeight="1" x14ac:dyDescent="0.2">
      <c r="B25" s="80" t="s">
        <v>392</v>
      </c>
      <c r="C25" s="81">
        <v>864000</v>
      </c>
      <c r="D25" s="81">
        <v>1296000</v>
      </c>
      <c r="E25" s="81">
        <v>1728000</v>
      </c>
      <c r="F25" s="82">
        <v>2160000</v>
      </c>
      <c r="G25" s="82">
        <v>2592000</v>
      </c>
      <c r="H25" s="82">
        <v>2880000</v>
      </c>
    </row>
    <row r="26" spans="2:9" ht="15" customHeight="1" x14ac:dyDescent="0.2">
      <c r="B26" s="80" t="s">
        <v>393</v>
      </c>
      <c r="C26" s="81">
        <v>1036800</v>
      </c>
      <c r="D26" s="81">
        <v>1555200</v>
      </c>
      <c r="E26" s="82">
        <v>2073600</v>
      </c>
      <c r="F26" s="82">
        <v>2592000</v>
      </c>
      <c r="G26" s="82">
        <v>3110400</v>
      </c>
      <c r="H26" s="82">
        <v>3456000</v>
      </c>
    </row>
    <row r="27" spans="2:9" ht="15" customHeight="1" x14ac:dyDescent="0.2">
      <c r="B27" s="80" t="s">
        <v>394</v>
      </c>
      <c r="C27" s="81">
        <v>1296000</v>
      </c>
      <c r="D27" s="81">
        <v>1944000</v>
      </c>
      <c r="E27" s="82">
        <v>2592000</v>
      </c>
      <c r="F27" s="82">
        <v>3240000</v>
      </c>
      <c r="G27" s="82">
        <v>3888000</v>
      </c>
      <c r="H27" s="83">
        <v>4320000</v>
      </c>
    </row>
    <row r="28" spans="2:9" ht="15" customHeight="1" x14ac:dyDescent="0.2">
      <c r="B28" s="80" t="s">
        <v>395</v>
      </c>
      <c r="C28" s="81">
        <v>1555200</v>
      </c>
      <c r="D28" s="82">
        <v>2332800</v>
      </c>
      <c r="E28" s="82">
        <v>3110400</v>
      </c>
      <c r="F28" s="82">
        <v>3888000</v>
      </c>
      <c r="G28" s="83">
        <v>4665600</v>
      </c>
      <c r="H28" s="83">
        <v>5184000</v>
      </c>
    </row>
    <row r="29" spans="2:9" ht="15" customHeight="1" x14ac:dyDescent="0.2">
      <c r="B29" s="80" t="s">
        <v>396</v>
      </c>
      <c r="C29" s="81">
        <v>1728000</v>
      </c>
      <c r="D29" s="82">
        <v>2592000</v>
      </c>
      <c r="E29" s="82">
        <v>3456000</v>
      </c>
      <c r="F29" s="83">
        <v>4320000</v>
      </c>
      <c r="G29" s="83">
        <v>5184000</v>
      </c>
      <c r="H29" s="83">
        <v>5760000</v>
      </c>
    </row>
    <row r="30" spans="2:9" ht="15" customHeight="1" x14ac:dyDescent="0.2">
      <c r="B30" s="80" t="s">
        <v>397</v>
      </c>
      <c r="C30" s="81">
        <v>1900800</v>
      </c>
      <c r="D30" s="82">
        <v>2851200</v>
      </c>
      <c r="E30" s="82">
        <v>3801600</v>
      </c>
      <c r="F30" s="83">
        <v>4752000</v>
      </c>
      <c r="G30" s="83">
        <v>5702400</v>
      </c>
      <c r="H30" s="83">
        <v>6336000</v>
      </c>
    </row>
    <row r="31" spans="2:9" ht="15" customHeight="1" x14ac:dyDescent="0.2">
      <c r="B31" s="80" t="s">
        <v>398</v>
      </c>
      <c r="C31" s="82">
        <v>2160000</v>
      </c>
      <c r="D31" s="82">
        <v>3240000</v>
      </c>
      <c r="E31" s="83">
        <v>4320000</v>
      </c>
      <c r="F31" s="83">
        <v>5400000</v>
      </c>
      <c r="G31" s="83">
        <v>6480000</v>
      </c>
      <c r="H31" s="83">
        <v>7200000</v>
      </c>
    </row>
    <row r="33" spans="2:5" ht="15" customHeight="1" x14ac:dyDescent="0.2">
      <c r="B33" s="15" t="s">
        <v>399</v>
      </c>
      <c r="C33" s="84" t="s">
        <v>400</v>
      </c>
      <c r="D33" s="85" t="s">
        <v>401</v>
      </c>
      <c r="E33" s="86" t="s">
        <v>402</v>
      </c>
    </row>
  </sheetData>
  <mergeCells count="4">
    <mergeCell ref="B1:I1"/>
    <mergeCell ref="B3:I3"/>
    <mergeCell ref="B11:I11"/>
    <mergeCell ref="B23:I23"/>
  </mergeCell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7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25" customWidth="1"/>
    <col min="3" max="3" width="20" customWidth="1"/>
    <col min="4" max="7" width="22" customWidth="1"/>
  </cols>
  <sheetData>
    <row r="1" spans="2:7" ht="30" customHeight="1" x14ac:dyDescent="0.2">
      <c r="B1" s="8" t="s">
        <v>403</v>
      </c>
      <c r="C1" s="8"/>
      <c r="D1" s="8"/>
      <c r="E1" s="8"/>
      <c r="F1" s="8"/>
      <c r="G1" s="8"/>
    </row>
    <row r="3" spans="2:7" ht="15" customHeight="1" x14ac:dyDescent="0.2">
      <c r="B3" s="28" t="s">
        <v>404</v>
      </c>
      <c r="C3" s="28" t="s">
        <v>405</v>
      </c>
      <c r="D3" s="28" t="s">
        <v>406</v>
      </c>
      <c r="E3" s="28" t="s">
        <v>407</v>
      </c>
      <c r="F3" s="28" t="s">
        <v>408</v>
      </c>
      <c r="G3" s="28" t="s">
        <v>409</v>
      </c>
    </row>
    <row r="4" spans="2:7" ht="54.75" customHeight="1" x14ac:dyDescent="0.2">
      <c r="B4" s="87" t="s">
        <v>410</v>
      </c>
      <c r="C4" s="88" t="s">
        <v>411</v>
      </c>
      <c r="D4" s="88" t="s">
        <v>412</v>
      </c>
      <c r="E4" s="88" t="s">
        <v>413</v>
      </c>
      <c r="F4" s="88" t="s">
        <v>414</v>
      </c>
      <c r="G4" s="89" t="s">
        <v>415</v>
      </c>
    </row>
    <row r="6" spans="2:7" ht="54.75" customHeight="1" x14ac:dyDescent="0.2">
      <c r="B6" s="90" t="s">
        <v>416</v>
      </c>
      <c r="C6" s="91" t="s">
        <v>417</v>
      </c>
      <c r="D6" s="91" t="s">
        <v>418</v>
      </c>
      <c r="E6" s="91" t="s">
        <v>419</v>
      </c>
      <c r="F6" s="91" t="s">
        <v>420</v>
      </c>
      <c r="G6" s="92" t="s">
        <v>421</v>
      </c>
    </row>
    <row r="8" spans="2:7" ht="54.75" customHeight="1" x14ac:dyDescent="0.2">
      <c r="B8" s="87" t="s">
        <v>422</v>
      </c>
      <c r="C8" s="88" t="s">
        <v>423</v>
      </c>
      <c r="D8" s="88" t="s">
        <v>424</v>
      </c>
      <c r="E8" s="88" t="s">
        <v>425</v>
      </c>
      <c r="F8" s="88" t="s">
        <v>426</v>
      </c>
      <c r="G8" s="89" t="s">
        <v>427</v>
      </c>
    </row>
    <row r="10" spans="2:7" ht="54.75" customHeight="1" x14ac:dyDescent="0.2">
      <c r="B10" s="90" t="s">
        <v>428</v>
      </c>
      <c r="C10" s="91" t="s">
        <v>429</v>
      </c>
      <c r="D10" s="91" t="s">
        <v>430</v>
      </c>
      <c r="E10" s="91" t="s">
        <v>431</v>
      </c>
      <c r="F10" s="91" t="s">
        <v>432</v>
      </c>
      <c r="G10" s="92" t="s">
        <v>433</v>
      </c>
    </row>
    <row r="12" spans="2:7" ht="54.75" customHeight="1" x14ac:dyDescent="0.2">
      <c r="B12" s="87" t="s">
        <v>434</v>
      </c>
      <c r="C12" s="88" t="s">
        <v>435</v>
      </c>
      <c r="D12" s="88" t="s">
        <v>436</v>
      </c>
      <c r="E12" s="88" t="s">
        <v>437</v>
      </c>
      <c r="F12" s="88" t="s">
        <v>438</v>
      </c>
      <c r="G12" s="89" t="s">
        <v>439</v>
      </c>
    </row>
    <row r="14" spans="2:7" ht="54.75" customHeight="1" x14ac:dyDescent="0.2">
      <c r="B14" s="90" t="s">
        <v>440</v>
      </c>
      <c r="C14" s="91" t="s">
        <v>441</v>
      </c>
      <c r="D14" s="91" t="s">
        <v>442</v>
      </c>
      <c r="E14" s="91" t="s">
        <v>443</v>
      </c>
      <c r="F14" s="91" t="s">
        <v>444</v>
      </c>
      <c r="G14" s="92" t="s">
        <v>445</v>
      </c>
    </row>
    <row r="18" spans="2:7" ht="15" customHeight="1" x14ac:dyDescent="0.2">
      <c r="B18" s="11" t="s">
        <v>446</v>
      </c>
      <c r="C18" s="11"/>
      <c r="D18" s="11"/>
      <c r="E18" s="11"/>
      <c r="F18" s="11"/>
      <c r="G18" s="11"/>
    </row>
    <row r="19" spans="2:7" ht="15" customHeight="1" x14ac:dyDescent="0.2">
      <c r="B19" s="77" t="s">
        <v>447</v>
      </c>
      <c r="C19" s="16" t="s">
        <v>5</v>
      </c>
      <c r="D19" s="77" t="s">
        <v>448</v>
      </c>
      <c r="E19" s="77" t="s">
        <v>449</v>
      </c>
      <c r="F19" s="77" t="s">
        <v>450</v>
      </c>
      <c r="G19" s="77" t="s">
        <v>451</v>
      </c>
    </row>
    <row r="20" spans="2:7" ht="15" customHeight="1" x14ac:dyDescent="0.2">
      <c r="B20" s="93" t="s">
        <v>452</v>
      </c>
      <c r="C20" s="94" t="s">
        <v>453</v>
      </c>
      <c r="D20" s="95" t="s">
        <v>454</v>
      </c>
      <c r="E20" s="95" t="s">
        <v>454</v>
      </c>
      <c r="F20" s="95" t="s">
        <v>454</v>
      </c>
      <c r="G20" s="95" t="s">
        <v>454</v>
      </c>
    </row>
    <row r="21" spans="2:7" ht="15" customHeight="1" x14ac:dyDescent="0.2">
      <c r="B21" s="93" t="s">
        <v>455</v>
      </c>
      <c r="C21" s="94" t="s">
        <v>453</v>
      </c>
      <c r="D21" s="95" t="s">
        <v>454</v>
      </c>
      <c r="E21" s="94" t="s">
        <v>453</v>
      </c>
      <c r="F21" s="95" t="s">
        <v>454</v>
      </c>
      <c r="G21" s="95" t="s">
        <v>454</v>
      </c>
    </row>
    <row r="22" spans="2:7" ht="15" customHeight="1" x14ac:dyDescent="0.2">
      <c r="B22" s="93" t="s">
        <v>456</v>
      </c>
      <c r="C22" s="94" t="s">
        <v>453</v>
      </c>
      <c r="D22" s="95" t="s">
        <v>454</v>
      </c>
      <c r="E22" s="94" t="s">
        <v>453</v>
      </c>
      <c r="F22" s="95" t="s">
        <v>454</v>
      </c>
      <c r="G22" s="95" t="s">
        <v>454</v>
      </c>
    </row>
    <row r="23" spans="2:7" ht="15" customHeight="1" x14ac:dyDescent="0.2">
      <c r="B23" s="93" t="s">
        <v>457</v>
      </c>
      <c r="C23" s="94" t="s">
        <v>453</v>
      </c>
      <c r="D23" s="95" t="s">
        <v>454</v>
      </c>
      <c r="E23" s="94" t="s">
        <v>453</v>
      </c>
      <c r="F23" s="95" t="s">
        <v>454</v>
      </c>
      <c r="G23" s="95" t="s">
        <v>454</v>
      </c>
    </row>
    <row r="24" spans="2:7" ht="15" customHeight="1" x14ac:dyDescent="0.2">
      <c r="B24" s="93" t="s">
        <v>458</v>
      </c>
      <c r="C24" s="94" t="s">
        <v>453</v>
      </c>
      <c r="D24" s="93" t="s">
        <v>459</v>
      </c>
      <c r="E24" s="95" t="s">
        <v>454</v>
      </c>
      <c r="F24" s="94" t="s">
        <v>453</v>
      </c>
      <c r="G24" s="95" t="s">
        <v>454</v>
      </c>
    </row>
    <row r="25" spans="2:7" ht="15" customHeight="1" x14ac:dyDescent="0.2">
      <c r="B25" s="93" t="s">
        <v>460</v>
      </c>
      <c r="C25" s="94" t="s">
        <v>453</v>
      </c>
      <c r="D25" s="93" t="s">
        <v>459</v>
      </c>
      <c r="E25" s="94" t="s">
        <v>453</v>
      </c>
      <c r="F25" s="95" t="s">
        <v>454</v>
      </c>
      <c r="G25" s="95" t="s">
        <v>454</v>
      </c>
    </row>
    <row r="26" spans="2:7" ht="15" customHeight="1" x14ac:dyDescent="0.2">
      <c r="B26" s="93" t="s">
        <v>461</v>
      </c>
      <c r="C26" s="93" t="s">
        <v>462</v>
      </c>
      <c r="D26" s="95" t="s">
        <v>454</v>
      </c>
      <c r="E26" s="95" t="s">
        <v>454</v>
      </c>
      <c r="F26" s="94" t="s">
        <v>453</v>
      </c>
      <c r="G26" s="94" t="s">
        <v>453</v>
      </c>
    </row>
    <row r="27" spans="2:7" ht="15" customHeight="1" x14ac:dyDescent="0.2">
      <c r="B27" s="93" t="s">
        <v>463</v>
      </c>
      <c r="C27" s="94" t="s">
        <v>453</v>
      </c>
      <c r="D27" s="95" t="s">
        <v>454</v>
      </c>
      <c r="E27" s="94" t="s">
        <v>453</v>
      </c>
      <c r="F27" s="95" t="s">
        <v>454</v>
      </c>
      <c r="G27" s="95" t="s">
        <v>454</v>
      </c>
    </row>
  </sheetData>
  <mergeCells count="2">
    <mergeCell ref="B1:G1"/>
    <mergeCell ref="B18:G18"/>
  </mergeCells>
  <pageMargins left="0.75" right="0.75" top="1" bottom="1" header="0.511811023622047" footer="0.511811023622047"/>
  <pageSetup paperSize="9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6" width="15" customWidth="1"/>
    <col min="7" max="7" width="22" customWidth="1"/>
    <col min="8" max="8" width="28" customWidth="1"/>
  </cols>
  <sheetData>
    <row r="1" spans="2:8" ht="30" customHeight="1" x14ac:dyDescent="0.2">
      <c r="B1" s="8" t="s">
        <v>464</v>
      </c>
      <c r="C1" s="8"/>
      <c r="D1" s="8"/>
      <c r="E1" s="8"/>
      <c r="F1" s="8"/>
      <c r="G1" s="8"/>
      <c r="H1" s="8"/>
    </row>
    <row r="3" spans="2:8" ht="23.25" customHeight="1" x14ac:dyDescent="0.2">
      <c r="B3" s="28" t="s">
        <v>465</v>
      </c>
      <c r="C3" s="28" t="s">
        <v>466</v>
      </c>
      <c r="D3" s="28" t="s">
        <v>467</v>
      </c>
      <c r="E3" s="28" t="s">
        <v>468</v>
      </c>
      <c r="F3" s="28" t="s">
        <v>469</v>
      </c>
      <c r="G3" s="28" t="s">
        <v>470</v>
      </c>
      <c r="H3" s="28" t="s">
        <v>471</v>
      </c>
    </row>
    <row r="4" spans="2:8" ht="15" customHeight="1" x14ac:dyDescent="0.2">
      <c r="B4" s="11" t="s">
        <v>472</v>
      </c>
      <c r="C4" s="11"/>
      <c r="H4" s="57">
        <v>2164320</v>
      </c>
    </row>
    <row r="5" spans="2:8" ht="31.5" customHeight="1" x14ac:dyDescent="0.2">
      <c r="B5" s="17" t="s">
        <v>473</v>
      </c>
      <c r="C5" s="64">
        <v>0.25</v>
      </c>
      <c r="D5" s="96" t="s">
        <v>474</v>
      </c>
      <c r="E5" s="97">
        <f>H4*(-0.5)</f>
        <v>-1082160</v>
      </c>
      <c r="F5" s="97">
        <f t="shared" ref="F5:F12" si="0">E5*C5</f>
        <v>-270540</v>
      </c>
      <c r="G5" s="98" t="s">
        <v>475</v>
      </c>
      <c r="H5" s="24" t="s">
        <v>476</v>
      </c>
    </row>
    <row r="6" spans="2:8" ht="31.5" customHeight="1" x14ac:dyDescent="0.2">
      <c r="B6" s="17" t="s">
        <v>477</v>
      </c>
      <c r="C6" s="64">
        <v>0.1</v>
      </c>
      <c r="D6" s="96" t="s">
        <v>478</v>
      </c>
      <c r="E6" s="97">
        <f>H4*(-0.3)</f>
        <v>-649296</v>
      </c>
      <c r="F6" s="97">
        <f t="shared" si="0"/>
        <v>-64929.600000000006</v>
      </c>
      <c r="G6" s="98" t="s">
        <v>479</v>
      </c>
      <c r="H6" s="24" t="s">
        <v>480</v>
      </c>
    </row>
    <row r="7" spans="2:8" ht="31.5" customHeight="1" x14ac:dyDescent="0.2">
      <c r="B7" s="17" t="s">
        <v>481</v>
      </c>
      <c r="C7" s="64">
        <v>0.3</v>
      </c>
      <c r="D7" s="99" t="s">
        <v>482</v>
      </c>
      <c r="E7" s="97">
        <f>H4*(-0.5)</f>
        <v>-1082160</v>
      </c>
      <c r="F7" s="97">
        <f t="shared" si="0"/>
        <v>-324648</v>
      </c>
      <c r="G7" s="98" t="s">
        <v>483</v>
      </c>
      <c r="H7" s="24" t="s">
        <v>484</v>
      </c>
    </row>
    <row r="8" spans="2:8" ht="31.5" customHeight="1" x14ac:dyDescent="0.2">
      <c r="B8" s="17" t="s">
        <v>485</v>
      </c>
      <c r="C8" s="64">
        <v>0.35</v>
      </c>
      <c r="D8" s="99" t="s">
        <v>482</v>
      </c>
      <c r="E8" s="97">
        <f>H4*(-0.25)</f>
        <v>-541080</v>
      </c>
      <c r="F8" s="97">
        <f t="shared" si="0"/>
        <v>-189378</v>
      </c>
      <c r="G8" s="98" t="s">
        <v>486</v>
      </c>
      <c r="H8" s="24" t="s">
        <v>487</v>
      </c>
    </row>
    <row r="9" spans="2:8" ht="31.5" customHeight="1" x14ac:dyDescent="0.2">
      <c r="B9" s="17" t="s">
        <v>488</v>
      </c>
      <c r="C9" s="64">
        <v>0.15</v>
      </c>
      <c r="D9" s="96" t="s">
        <v>478</v>
      </c>
      <c r="E9" s="97">
        <f>H4*(-0.7)</f>
        <v>-1515024</v>
      </c>
      <c r="F9" s="97">
        <f t="shared" si="0"/>
        <v>-227253.6</v>
      </c>
      <c r="G9" s="98" t="s">
        <v>489</v>
      </c>
      <c r="H9" s="24" t="s">
        <v>490</v>
      </c>
    </row>
    <row r="10" spans="2:8" ht="31.5" customHeight="1" x14ac:dyDescent="0.2">
      <c r="B10" s="17" t="s">
        <v>491</v>
      </c>
      <c r="C10" s="64">
        <v>0.3</v>
      </c>
      <c r="D10" s="99" t="s">
        <v>482</v>
      </c>
      <c r="E10" s="97">
        <f>H4*(-0.4)</f>
        <v>-865728</v>
      </c>
      <c r="F10" s="97">
        <f t="shared" si="0"/>
        <v>-259718.39999999999</v>
      </c>
      <c r="G10" s="98" t="s">
        <v>492</v>
      </c>
      <c r="H10" s="24" t="s">
        <v>493</v>
      </c>
    </row>
    <row r="11" spans="2:8" ht="31.5" customHeight="1" x14ac:dyDescent="0.2">
      <c r="B11" s="17" t="s">
        <v>494</v>
      </c>
      <c r="C11" s="64">
        <v>0.2</v>
      </c>
      <c r="D11" s="96" t="s">
        <v>474</v>
      </c>
      <c r="E11" s="97">
        <f>H4*(-0.2)</f>
        <v>-432864</v>
      </c>
      <c r="F11" s="97">
        <f t="shared" si="0"/>
        <v>-86572.800000000003</v>
      </c>
      <c r="G11" s="98" t="s">
        <v>495</v>
      </c>
      <c r="H11" s="24" t="s">
        <v>496</v>
      </c>
    </row>
    <row r="12" spans="2:8" ht="31.5" customHeight="1" x14ac:dyDescent="0.2">
      <c r="B12" s="17" t="s">
        <v>497</v>
      </c>
      <c r="C12" s="64">
        <v>0.08</v>
      </c>
      <c r="D12" s="96" t="s">
        <v>478</v>
      </c>
      <c r="E12" s="97">
        <f>H4*(-0.6)</f>
        <v>-1298592</v>
      </c>
      <c r="F12" s="97">
        <f t="shared" si="0"/>
        <v>-103887.36</v>
      </c>
      <c r="G12" s="98" t="s">
        <v>498</v>
      </c>
      <c r="H12" s="24" t="s">
        <v>499</v>
      </c>
    </row>
    <row r="13" spans="2:8" ht="23.25" customHeight="1" x14ac:dyDescent="0.2">
      <c r="B13" s="70" t="s">
        <v>500</v>
      </c>
      <c r="F13" s="100">
        <f>SUM(F5:F12)</f>
        <v>-1526927.76</v>
      </c>
    </row>
  </sheetData>
  <mergeCells count="2">
    <mergeCell ref="B1:H1"/>
    <mergeCell ref="B4:C4"/>
  </mergeCells>
  <pageMargins left="0.75" right="0.75" top="1" bottom="1" header="0.511811023622047" footer="0.511811023622047"/>
  <pageSetup paperSize="9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G21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3" customWidth="1"/>
    <col min="2" max="2" width="8" customWidth="1"/>
    <col min="3" max="3" width="30" customWidth="1"/>
    <col min="4" max="4" width="22" customWidth="1"/>
    <col min="5" max="5" width="10" customWidth="1"/>
    <col min="6" max="6" width="35" customWidth="1"/>
    <col min="7" max="7" width="38" customWidth="1"/>
  </cols>
  <sheetData>
    <row r="1" spans="2:7" ht="30" customHeight="1" x14ac:dyDescent="0.2">
      <c r="B1" s="8" t="s">
        <v>501</v>
      </c>
      <c r="C1" s="8"/>
      <c r="D1" s="8"/>
      <c r="E1" s="8"/>
      <c r="F1" s="8"/>
      <c r="G1" s="8"/>
    </row>
    <row r="2" spans="2:7" ht="36" customHeight="1" x14ac:dyDescent="0.2">
      <c r="B2" s="7" t="s">
        <v>502</v>
      </c>
      <c r="C2" s="7"/>
      <c r="D2" s="7"/>
      <c r="E2" s="7"/>
      <c r="F2" s="7"/>
      <c r="G2" s="7"/>
    </row>
    <row r="3" spans="2:7" ht="15" customHeight="1" x14ac:dyDescent="0.2">
      <c r="B3" s="28" t="s">
        <v>503</v>
      </c>
      <c r="C3" s="28" t="s">
        <v>504</v>
      </c>
      <c r="D3" s="28" t="s">
        <v>505</v>
      </c>
      <c r="E3" s="28" t="s">
        <v>506</v>
      </c>
      <c r="F3" s="28" t="s">
        <v>507</v>
      </c>
      <c r="G3" s="28" t="s">
        <v>508</v>
      </c>
    </row>
    <row r="4" spans="2:7" ht="39.75" customHeight="1" x14ac:dyDescent="0.2">
      <c r="B4" s="101" t="s">
        <v>509</v>
      </c>
      <c r="C4" s="102" t="s">
        <v>510</v>
      </c>
      <c r="D4" s="103" t="s">
        <v>511</v>
      </c>
      <c r="E4" s="104" t="s">
        <v>512</v>
      </c>
      <c r="F4" s="105" t="s">
        <v>513</v>
      </c>
      <c r="G4" s="106" t="s">
        <v>514</v>
      </c>
    </row>
    <row r="5" spans="2:7" ht="39.75" customHeight="1" x14ac:dyDescent="0.2">
      <c r="B5" s="101" t="s">
        <v>515</v>
      </c>
      <c r="C5" s="102" t="s">
        <v>516</v>
      </c>
      <c r="D5" s="103" t="s">
        <v>517</v>
      </c>
      <c r="E5" s="104" t="s">
        <v>512</v>
      </c>
      <c r="F5" s="105" t="s">
        <v>518</v>
      </c>
      <c r="G5" s="106" t="s">
        <v>519</v>
      </c>
    </row>
    <row r="6" spans="2:7" ht="39.75" customHeight="1" x14ac:dyDescent="0.2">
      <c r="B6" s="101" t="s">
        <v>520</v>
      </c>
      <c r="C6" s="102" t="s">
        <v>521</v>
      </c>
      <c r="D6" s="103" t="s">
        <v>522</v>
      </c>
      <c r="E6" s="104" t="s">
        <v>512</v>
      </c>
      <c r="F6" s="105" t="s">
        <v>523</v>
      </c>
      <c r="G6" s="106" t="s">
        <v>524</v>
      </c>
    </row>
    <row r="7" spans="2:7" ht="39.75" customHeight="1" x14ac:dyDescent="0.2">
      <c r="B7" s="101" t="s">
        <v>525</v>
      </c>
      <c r="C7" s="102" t="s">
        <v>526</v>
      </c>
      <c r="D7" s="103" t="s">
        <v>527</v>
      </c>
      <c r="E7" s="104" t="s">
        <v>528</v>
      </c>
      <c r="F7" s="105" t="s">
        <v>529</v>
      </c>
      <c r="G7" s="106" t="s">
        <v>530</v>
      </c>
    </row>
    <row r="8" spans="2:7" ht="39.75" customHeight="1" x14ac:dyDescent="0.2">
      <c r="B8" s="101" t="s">
        <v>531</v>
      </c>
      <c r="C8" s="102" t="s">
        <v>532</v>
      </c>
      <c r="D8" s="103" t="s">
        <v>533</v>
      </c>
      <c r="E8" s="104" t="s">
        <v>534</v>
      </c>
      <c r="F8" s="105" t="s">
        <v>535</v>
      </c>
      <c r="G8" s="106" t="s">
        <v>536</v>
      </c>
    </row>
    <row r="9" spans="2:7" ht="39.75" customHeight="1" x14ac:dyDescent="0.2">
      <c r="B9" s="101" t="s">
        <v>537</v>
      </c>
      <c r="C9" s="102" t="s">
        <v>538</v>
      </c>
      <c r="D9" s="103" t="s">
        <v>539</v>
      </c>
      <c r="E9" s="104" t="s">
        <v>512</v>
      </c>
      <c r="F9" s="105" t="s">
        <v>540</v>
      </c>
      <c r="G9" s="106" t="s">
        <v>541</v>
      </c>
    </row>
    <row r="10" spans="2:7" ht="39.75" customHeight="1" x14ac:dyDescent="0.2">
      <c r="B10" s="101" t="s">
        <v>542</v>
      </c>
      <c r="C10" s="102" t="s">
        <v>543</v>
      </c>
      <c r="D10" s="103" t="s">
        <v>544</v>
      </c>
      <c r="E10" s="104" t="s">
        <v>512</v>
      </c>
      <c r="F10" s="105" t="s">
        <v>545</v>
      </c>
      <c r="G10" s="106" t="s">
        <v>546</v>
      </c>
    </row>
    <row r="11" spans="2:7" ht="39.75" customHeight="1" x14ac:dyDescent="0.2">
      <c r="B11" s="101" t="s">
        <v>547</v>
      </c>
      <c r="C11" s="102" t="s">
        <v>548</v>
      </c>
      <c r="D11" s="103" t="s">
        <v>549</v>
      </c>
      <c r="E11" s="104" t="s">
        <v>512</v>
      </c>
      <c r="F11" s="105" t="s">
        <v>550</v>
      </c>
      <c r="G11" s="106" t="s">
        <v>551</v>
      </c>
    </row>
    <row r="12" spans="2:7" ht="39.75" customHeight="1" x14ac:dyDescent="0.2">
      <c r="B12" s="101" t="s">
        <v>552</v>
      </c>
      <c r="C12" s="102" t="s">
        <v>553</v>
      </c>
      <c r="D12" s="103" t="s">
        <v>554</v>
      </c>
      <c r="E12" s="104" t="s">
        <v>512</v>
      </c>
      <c r="F12" s="105" t="s">
        <v>555</v>
      </c>
      <c r="G12" s="106" t="s">
        <v>556</v>
      </c>
    </row>
    <row r="13" spans="2:7" ht="39.75" customHeight="1" x14ac:dyDescent="0.2">
      <c r="B13" s="101" t="s">
        <v>557</v>
      </c>
      <c r="C13" s="102" t="s">
        <v>558</v>
      </c>
      <c r="D13" s="103" t="s">
        <v>559</v>
      </c>
      <c r="E13" s="104" t="s">
        <v>512</v>
      </c>
      <c r="F13" s="105" t="s">
        <v>560</v>
      </c>
      <c r="G13" s="106" t="s">
        <v>561</v>
      </c>
    </row>
    <row r="14" spans="2:7" ht="39.75" customHeight="1" x14ac:dyDescent="0.2">
      <c r="B14" s="101" t="s">
        <v>562</v>
      </c>
      <c r="C14" s="102" t="s">
        <v>563</v>
      </c>
      <c r="D14" s="103" t="s">
        <v>564</v>
      </c>
      <c r="E14" s="104" t="s">
        <v>512</v>
      </c>
      <c r="F14" s="105" t="s">
        <v>565</v>
      </c>
      <c r="G14" s="106" t="s">
        <v>566</v>
      </c>
    </row>
    <row r="15" spans="2:7" ht="39.75" customHeight="1" x14ac:dyDescent="0.2">
      <c r="B15" s="101" t="s">
        <v>567</v>
      </c>
      <c r="C15" s="102" t="s">
        <v>568</v>
      </c>
      <c r="D15" s="103" t="s">
        <v>569</v>
      </c>
      <c r="E15" s="104" t="s">
        <v>512</v>
      </c>
      <c r="F15" s="105" t="s">
        <v>570</v>
      </c>
      <c r="G15" s="106" t="s">
        <v>571</v>
      </c>
    </row>
    <row r="16" spans="2:7" ht="39.75" customHeight="1" x14ac:dyDescent="0.2">
      <c r="B16" s="107" t="s">
        <v>572</v>
      </c>
      <c r="C16" s="102" t="s">
        <v>573</v>
      </c>
      <c r="D16" s="103" t="s">
        <v>574</v>
      </c>
      <c r="E16" s="104" t="s">
        <v>534</v>
      </c>
      <c r="F16" s="105" t="s">
        <v>575</v>
      </c>
      <c r="G16" s="106" t="s">
        <v>576</v>
      </c>
    </row>
    <row r="17" spans="2:7" ht="39.75" customHeight="1" x14ac:dyDescent="0.2">
      <c r="B17" s="107" t="s">
        <v>572</v>
      </c>
      <c r="C17" s="102" t="s">
        <v>577</v>
      </c>
      <c r="D17" s="103" t="s">
        <v>578</v>
      </c>
      <c r="E17" s="104" t="s">
        <v>534</v>
      </c>
      <c r="F17" s="105" t="s">
        <v>579</v>
      </c>
      <c r="G17" s="106" t="s">
        <v>580</v>
      </c>
    </row>
    <row r="18" spans="2:7" ht="39.75" customHeight="1" x14ac:dyDescent="0.2">
      <c r="B18" s="107" t="s">
        <v>572</v>
      </c>
      <c r="C18" s="102" t="s">
        <v>581</v>
      </c>
      <c r="D18" s="103" t="s">
        <v>582</v>
      </c>
      <c r="E18" s="104" t="s">
        <v>534</v>
      </c>
      <c r="F18" s="105" t="s">
        <v>579</v>
      </c>
      <c r="G18" s="106" t="s">
        <v>583</v>
      </c>
    </row>
    <row r="19" spans="2:7" ht="39.75" customHeight="1" x14ac:dyDescent="0.2">
      <c r="B19" s="107" t="s">
        <v>572</v>
      </c>
      <c r="C19" s="102" t="s">
        <v>584</v>
      </c>
      <c r="D19" s="103" t="s">
        <v>578</v>
      </c>
      <c r="E19" s="104" t="s">
        <v>534</v>
      </c>
      <c r="F19" s="105" t="s">
        <v>579</v>
      </c>
      <c r="G19" s="106" t="s">
        <v>585</v>
      </c>
    </row>
    <row r="20" spans="2:7" ht="39.75" customHeight="1" x14ac:dyDescent="0.2">
      <c r="B20" s="107" t="s">
        <v>572</v>
      </c>
      <c r="C20" s="102" t="s">
        <v>586</v>
      </c>
      <c r="D20" s="103" t="s">
        <v>578</v>
      </c>
      <c r="E20" s="104" t="s">
        <v>534</v>
      </c>
      <c r="F20" s="105" t="s">
        <v>579</v>
      </c>
      <c r="G20" s="106" t="s">
        <v>587</v>
      </c>
    </row>
    <row r="21" spans="2:7" ht="39.75" customHeight="1" x14ac:dyDescent="0.2">
      <c r="B21" s="107" t="s">
        <v>572</v>
      </c>
      <c r="C21" s="102" t="s">
        <v>588</v>
      </c>
      <c r="D21" s="103" t="s">
        <v>589</v>
      </c>
      <c r="E21" s="104" t="s">
        <v>534</v>
      </c>
      <c r="F21" s="105" t="s">
        <v>579</v>
      </c>
      <c r="G21" s="106" t="s">
        <v>590</v>
      </c>
    </row>
  </sheetData>
  <mergeCells count="2">
    <mergeCell ref="B1:G1"/>
    <mergeCell ref="B2:G2"/>
  </mergeCells>
  <hyperlinks>
    <hyperlink ref="F4" r:id="rId1" xr:uid="{00000000-0004-0000-0E00-000000000000}"/>
    <hyperlink ref="F5" r:id="rId2" xr:uid="{00000000-0004-0000-0E00-000001000000}"/>
    <hyperlink ref="F6" r:id="rId3" xr:uid="{00000000-0004-0000-0E00-000002000000}"/>
    <hyperlink ref="F7" r:id="rId4" xr:uid="{00000000-0004-0000-0E00-000003000000}"/>
    <hyperlink ref="F8" r:id="rId5" xr:uid="{00000000-0004-0000-0E00-000004000000}"/>
    <hyperlink ref="F9" r:id="rId6" xr:uid="{00000000-0004-0000-0E00-000005000000}"/>
    <hyperlink ref="F10" r:id="rId7" xr:uid="{00000000-0004-0000-0E00-000006000000}"/>
    <hyperlink ref="F11" r:id="rId8" xr:uid="{00000000-0004-0000-0E00-000007000000}"/>
    <hyperlink ref="F12" r:id="rId9" xr:uid="{00000000-0004-0000-0E00-000008000000}"/>
    <hyperlink ref="F13" r:id="rId10" xr:uid="{00000000-0004-0000-0E00-000009000000}"/>
    <hyperlink ref="F14" r:id="rId11" xr:uid="{00000000-0004-0000-0E00-00000A000000}"/>
    <hyperlink ref="F15" r:id="rId12" xr:uid="{00000000-0004-0000-0E00-00000B000000}"/>
    <hyperlink ref="F16" r:id="rId13" xr:uid="{00000000-0004-0000-0E00-00000C000000}"/>
  </hyperlink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Executive Summary</vt:lpstr>
      <vt:lpstr>Problem Economics</vt:lpstr>
      <vt:lpstr>Efficiency Model</vt:lpstr>
      <vt:lpstr>Credit Pricing</vt:lpstr>
      <vt:lpstr>Unit Economics</vt:lpstr>
      <vt:lpstr>Revenue Streams</vt:lpstr>
      <vt:lpstr>TAM SAM SOM</vt:lpstr>
      <vt:lpstr>Year 1 Projection</vt:lpstr>
      <vt:lpstr>Year 3 Projection</vt:lpstr>
      <vt:lpstr>Year 5 Projection</vt:lpstr>
      <vt:lpstr>Scenario Analysis</vt:lpstr>
      <vt:lpstr>Sensitivity Analysis</vt:lpstr>
      <vt:lpstr>Competitor Economics</vt:lpstr>
      <vt:lpstr>Risk Analysis</vt:lpstr>
      <vt:lpstr>Sources</vt:lpstr>
      <vt:lpstr>'Competitor Economics'!Print_Titles</vt:lpstr>
      <vt:lpstr>'Credit Pricing'!Print_Titles</vt:lpstr>
      <vt:lpstr>'Efficiency Model'!Print_Titles</vt:lpstr>
      <vt:lpstr>'Executive Summary'!Print_Titles</vt:lpstr>
      <vt:lpstr>'Problem Economics'!Print_Titles</vt:lpstr>
      <vt:lpstr>'Revenue Streams'!Print_Titles</vt:lpstr>
      <vt:lpstr>'Risk Analysis'!Print_Titles</vt:lpstr>
      <vt:lpstr>'Scenario Analysis'!Print_Titles</vt:lpstr>
      <vt:lpstr>'Sensitivity Analysis'!Print_Titles</vt:lpstr>
      <vt:lpstr>Sources!Print_Titles</vt:lpstr>
      <vt:lpstr>'TAM SAM SOM'!Print_Titles</vt:lpstr>
      <vt:lpstr>'Unit Economics'!Print_Titles</vt:lpstr>
      <vt:lpstr>'Year 1 Projection'!Print_Titles</vt:lpstr>
      <vt:lpstr>'Year 3 Projection'!Print_Titles</vt:lpstr>
      <vt:lpstr>'Year 5 Projection'!Print_Titles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Mahesh Rajpurohit</cp:lastModifiedBy>
  <cp:revision>7</cp:revision>
  <dcterms:created xsi:type="dcterms:W3CDTF">2026-06-15T06:17:21Z</dcterms:created>
  <dcterms:modified xsi:type="dcterms:W3CDTF">2026-06-16T17:05:58Z</dcterms:modified>
  <dc:language>en-US</dc:language>
</cp:coreProperties>
</file>