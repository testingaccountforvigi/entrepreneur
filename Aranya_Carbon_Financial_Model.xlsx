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&amp; Sources" sheetId="1" state="visible" r:id="rId1"/>
    <sheet xmlns:r="http://schemas.openxmlformats.org/officeDocument/2006/relationships" name="CAPEX &amp; OPEX" sheetId="2" state="visible" r:id="rId2"/>
    <sheet xmlns:r="http://schemas.openxmlformats.org/officeDocument/2006/relationships" name="Revenue Model &amp; 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&quot;$&quot;#,##0.00"/>
    <numFmt numFmtId="166" formatCode="&quot;$&quot;#,##0"/>
    <numFmt numFmtId="167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14532D"/>
      <sz val="16"/>
    </font>
    <font>
      <name val="Calibri"/>
      <i val="1"/>
      <color rgb="005E7167"/>
      <sz val="10"/>
    </font>
    <font>
      <name val="Calibri"/>
      <i val="1"/>
      <color rgb="005E7167"/>
      <sz val="9"/>
    </font>
    <font>
      <name val="Calibri"/>
      <b val="1"/>
      <color rgb="0014532D"/>
      <sz val="11"/>
    </font>
    <font>
      <name val="Calibri"/>
      <b val="1"/>
      <color rgb="00FFFFFF"/>
      <sz val="10"/>
    </font>
    <font>
      <name val="Calibri"/>
      <color rgb="001B2B23"/>
      <sz val="10"/>
    </font>
    <font>
      <name val="Calibri"/>
      <b val="1"/>
      <color rgb="001F4E79"/>
      <sz val="10"/>
    </font>
    <font>
      <name val="Calibri"/>
      <color rgb="005E7167"/>
      <sz val="10"/>
    </font>
    <font>
      <name val="Calibri"/>
      <color rgb="005E7167"/>
      <sz val="9"/>
    </font>
    <font>
      <name val="Calibri"/>
      <color rgb="0012A06A"/>
      <sz val="9"/>
    </font>
    <font>
      <name val="Calibri"/>
      <b val="1"/>
      <color rgb="001B2B23"/>
      <sz val="10"/>
    </font>
    <font>
      <name val="Calibri"/>
      <b val="1"/>
      <color rgb="0012A06A"/>
      <sz val="9"/>
    </font>
    <font>
      <name val="Calibri"/>
      <color rgb="001B2B23"/>
      <sz val="9"/>
    </font>
    <font>
      <name val="Calibri"/>
      <color rgb="001F4E79"/>
      <sz val="9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C2912E"/>
      <sz val="11"/>
    </font>
    <font>
      <name val="Calibri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EAF2EC"/>
      </patternFill>
    </fill>
    <fill>
      <patternFill patternType="solid">
        <fgColor rgb="0014532D"/>
      </patternFill>
    </fill>
    <fill>
      <patternFill patternType="solid">
        <fgColor rgb="00FCF3D6"/>
      </patternFill>
    </fill>
  </fills>
  <borders count="5">
    <border>
      <left/>
      <right/>
      <top/>
      <bottom/>
      <diagonal/>
    </border>
    <border>
      <left style="thin">
        <color rgb="00C9D6CC"/>
      </left>
      <right style="thin">
        <color rgb="00C9D6CC"/>
      </right>
      <top style="thin">
        <color rgb="00C9D6CC"/>
      </top>
      <bottom style="thin">
        <color rgb="00C9D6CC"/>
      </bottom>
    </border>
    <border>
      <left/>
      <right/>
      <top style="thin">
        <color rgb="00C9D6CC"/>
      </top>
      <bottom/>
      <diagonal/>
    </border>
    <border>
      <left/>
      <right style="thin">
        <color rgb="00C9D6CC"/>
      </right>
      <top style="thin">
        <color rgb="00C9D6CC"/>
      </top>
      <bottom/>
      <diagonal/>
    </border>
    <border>
      <left/>
      <right style="thin">
        <color rgb="00C9D6CC"/>
      </right>
      <top style="thin">
        <color rgb="00C9D6CC"/>
      </top>
      <bottom style="thin">
        <color rgb="00C9D6CC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4" borderId="1" pivotButton="0" quotePrefix="0" xfId="0"/>
    <xf numFmtId="164" fontId="7" fillId="4" borderId="1" applyAlignment="1" pivotButton="0" quotePrefix="0" xfId="0">
      <alignment horizontal="right"/>
    </xf>
    <xf numFmtId="0" fontId="8" fillId="4" borderId="1" pivotButton="0" quotePrefix="0" xfId="0"/>
    <xf numFmtId="0" fontId="9" fillId="4" borderId="1" applyAlignment="1" pivotButton="0" quotePrefix="0" xfId="0">
      <alignment vertical="center" wrapText="1"/>
    </xf>
    <xf numFmtId="0" fontId="10" fillId="4" borderId="1" pivotButton="0" quotePrefix="0" xfId="0"/>
    <xf numFmtId="0" fontId="6" fillId="0" borderId="1" pivotButton="0" quotePrefix="0" xfId="0"/>
    <xf numFmtId="165" fontId="7" fillId="0" borderId="1" applyAlignment="1" pivotButton="0" quotePrefix="0" xfId="0">
      <alignment horizontal="right"/>
    </xf>
    <xf numFmtId="0" fontId="8" fillId="0" borderId="1" pivotButton="0" quotePrefix="0" xfId="0"/>
    <xf numFmtId="0" fontId="9" fillId="0" borderId="1" applyAlignment="1" pivotButton="0" quotePrefix="0" xfId="0">
      <alignment vertical="center" wrapText="1"/>
    </xf>
    <xf numFmtId="0" fontId="10" fillId="0" borderId="1" pivotButton="0" quotePrefix="0" xfId="0"/>
    <xf numFmtId="165" fontId="7" fillId="4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right"/>
    </xf>
    <xf numFmtId="3" fontId="11" fillId="0" borderId="1" applyAlignment="1" pivotButton="0" quotePrefix="0" xfId="0">
      <alignment horizontal="right"/>
    </xf>
    <xf numFmtId="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9" fontId="7" fillId="4" borderId="1" applyAlignment="1" pivotButton="0" quotePrefix="0" xfId="0">
      <alignment horizontal="right"/>
    </xf>
    <xf numFmtId="0" fontId="12" fillId="0" borderId="1" pivotButton="0" quotePrefix="0" xfId="0"/>
    <xf numFmtId="0" fontId="13" fillId="0" borderId="1" applyAlignment="1" pivotButton="0" quotePrefix="0" xfId="0">
      <alignment vertical="center" wrapText="1"/>
    </xf>
    <xf numFmtId="0" fontId="0" fillId="0" borderId="4" pivotButton="0" quotePrefix="0" xfId="0"/>
    <xf numFmtId="0" fontId="14" fillId="0" borderId="1" applyAlignment="1" pivotButton="0" quotePrefix="0" xfId="0">
      <alignment vertical="center" wrapText="1"/>
    </xf>
    <xf numFmtId="0" fontId="0" fillId="0" borderId="1" pivotButton="0" quotePrefix="0" xfId="0"/>
    <xf numFmtId="164" fontId="7" fillId="0" borderId="1" pivotButton="0" quotePrefix="0" xfId="0"/>
    <xf numFmtId="166" fontId="6" fillId="0" borderId="1" pivotButton="0" quotePrefix="0" xfId="0"/>
    <xf numFmtId="164" fontId="11" fillId="0" borderId="1" pivotButton="0" quotePrefix="0" xfId="0"/>
    <xf numFmtId="0" fontId="9" fillId="0" borderId="1" pivotButton="0" quotePrefix="0" xfId="0"/>
    <xf numFmtId="0" fontId="15" fillId="3" borderId="1" pivotButton="0" quotePrefix="0" xfId="0"/>
    <xf numFmtId="164" fontId="15" fillId="3" borderId="1" pivotButton="0" quotePrefix="0" xfId="0"/>
    <xf numFmtId="166" fontId="15" fillId="3" borderId="1" pivotButton="0" quotePrefix="0" xfId="0"/>
    <xf numFmtId="0" fontId="0" fillId="3" borderId="1" pivotButton="0" quotePrefix="0" xfId="0"/>
    <xf numFmtId="164" fontId="6" fillId="0" borderId="1" pivotButton="0" quotePrefix="0" xfId="0"/>
    <xf numFmtId="0" fontId="16" fillId="3" borderId="1" pivotButton="0" quotePrefix="0" xfId="0"/>
    <xf numFmtId="0" fontId="11" fillId="0" borderId="0" pivotButton="0" quotePrefix="0" xfId="0"/>
    <xf numFmtId="164" fontId="17" fillId="0" borderId="0" pivotButton="0" quotePrefix="0" xfId="0"/>
    <xf numFmtId="0" fontId="3" fillId="0" borderId="0" applyAlignment="1" pivotButton="0" quotePrefix="0" xfId="0">
      <alignment wrapText="1"/>
    </xf>
    <xf numFmtId="0" fontId="11" fillId="0" borderId="1" pivotButton="0" quotePrefix="0" xfId="0"/>
    <xf numFmtId="9" fontId="11" fillId="0" borderId="1" pivotButton="0" quotePrefix="0" xfId="0"/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7" fontId="8" fillId="0" borderId="1" applyAlignment="1" pivotButton="0" quotePrefix="0" xfId="0">
      <alignment horizontal="right"/>
    </xf>
    <xf numFmtId="3" fontId="18" fillId="0" borderId="1" applyAlignment="1" pivotButton="0" quotePrefix="0" xfId="0">
      <alignment horizontal="right"/>
    </xf>
    <xf numFmtId="9" fontId="18" fillId="0" borderId="1" applyAlignment="1" pivotButton="0" quotePrefix="0" xfId="0">
      <alignment horizontal="right"/>
    </xf>
    <xf numFmtId="164" fontId="18" fillId="0" borderId="1" applyAlignment="1" pivotButton="0" quotePrefix="0" xfId="0">
      <alignment horizontal="right"/>
    </xf>
    <xf numFmtId="0" fontId="11" fillId="2" borderId="1" pivotButton="0" quotePrefix="0" xfId="0"/>
    <xf numFmtId="164" fontId="11" fillId="2" borderId="1" applyAlignment="1" pivotButton="0" quotePrefix="0" xfId="0">
      <alignment horizontal="right"/>
    </xf>
    <xf numFmtId="0" fontId="11" fillId="4" borderId="1" pivotButton="0" quotePrefix="0" xfId="0"/>
    <xf numFmtId="164" fontId="4" fillId="4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se.com/in/currency-converter/usd-to-inr-rate/history" TargetMode="External" Id="rId1"/><Relationship Type="http://schemas.openxmlformats.org/officeDocument/2006/relationships/hyperlink" Target="https://carboncredits.com/carbon-prices-today/" TargetMode="External" Id="rId2"/><Relationship Type="http://schemas.openxmlformats.org/officeDocument/2006/relationships/hyperlink" Target="https://abatable.com/blog/the-new-floor-price-for-redd-carbon-credits/" TargetMode="External" Id="rId3"/><Relationship Type="http://schemas.openxmlformats.org/officeDocument/2006/relationships/hyperlink" Target="https://www.ipcc-nggip.iges.or.jp/public/2006gl/vol4.html" TargetMode="External" Id="rId4"/><Relationship Type="http://schemas.openxmlformats.org/officeDocument/2006/relationships/hyperlink" Target="https://verra.org/programs/verified-carbon-standard/" TargetMode="External" Id="rId5"/><Relationship Type="http://schemas.openxmlformats.org/officeDocument/2006/relationships/hyperlink" Target="https://www.opis.com/blog/project-redd-struggles-amid-quality-push-future-of-voluntary-carbon-credits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16" customWidth="1" min="4" max="4"/>
    <col width="58" customWidth="1" min="5" max="5"/>
    <col width="10" customWidth="1" min="6" max="6"/>
  </cols>
  <sheetData>
    <row r="1">
      <c r="B1" s="1" t="inlineStr">
        <is>
          <t>ARANYA CARBON — FINANCIAL MODEL (2026)</t>
        </is>
      </c>
    </row>
    <row r="2">
      <c r="B2" s="2" t="inlineStr">
        <is>
          <t>Community Forest Carbon Credit Platform — India  •  Realistic, pre-seed / hackathon stage</t>
        </is>
      </c>
    </row>
    <row r="3">
      <c r="B3" s="3" t="inlineStr">
        <is>
          <t>Legend:  BLUE = input you can change   •   BLACK = formula   •   YELLOW = key assumption to validate.  Change the exchange rate or price once here and the whole model updates.</t>
        </is>
      </c>
    </row>
    <row r="5">
      <c r="B5" s="4" t="inlineStr">
        <is>
          <t>A.  EXCHANGE RATE</t>
        </is>
      </c>
      <c r="C5" s="4" t="n"/>
      <c r="D5" s="4" t="n"/>
      <c r="E5" s="4" t="n"/>
      <c r="F5" s="4" t="n"/>
    </row>
    <row r="6">
      <c r="B6" s="5" t="inlineStr">
        <is>
          <t>Assumption</t>
        </is>
      </c>
      <c r="C6" s="5" t="inlineStr">
        <is>
          <t>Value</t>
        </is>
      </c>
      <c r="D6" s="5" t="inlineStr">
        <is>
          <t>Unit</t>
        </is>
      </c>
      <c r="E6" s="5" t="inlineStr">
        <is>
          <t>Notes</t>
        </is>
      </c>
      <c r="F6" s="5" t="inlineStr">
        <is>
          <t>Src</t>
        </is>
      </c>
    </row>
    <row r="7">
      <c r="B7" s="6" t="inlineStr">
        <is>
          <t>USD → INR exchange rate</t>
        </is>
      </c>
      <c r="C7" s="7" t="n">
        <v>95</v>
      </c>
      <c r="D7" s="8" t="inlineStr">
        <is>
          <t>INR per USD</t>
        </is>
      </c>
      <c r="E7" s="9" t="inlineStr">
        <is>
          <t>Latest mid-market rate, ~₹95.2 on 15-Jun-2026 (was ₹83 in old model). All USD costs convert via this cell.</t>
        </is>
      </c>
      <c r="F7" s="10" t="inlineStr">
        <is>
          <t>[S1]</t>
        </is>
      </c>
    </row>
    <row r="9">
      <c r="B9" s="4" t="inlineStr">
        <is>
          <t>B.  CARBON CREDIT PRICING (per tCO₂e)</t>
        </is>
      </c>
      <c r="C9" s="4" t="n"/>
      <c r="D9" s="4" t="n"/>
      <c r="E9" s="4" t="n"/>
      <c r="F9" s="4" t="n"/>
    </row>
    <row r="10">
      <c r="B10" s="5" t="inlineStr">
        <is>
          <t>Assumption</t>
        </is>
      </c>
      <c r="C10" s="5" t="inlineStr">
        <is>
          <t>Value</t>
        </is>
      </c>
      <c r="D10" s="5" t="inlineStr">
        <is>
          <t>Unit</t>
        </is>
      </c>
      <c r="E10" s="5" t="inlineStr">
        <is>
          <t>Notes</t>
        </is>
      </c>
      <c r="F10" s="5" t="inlineStr">
        <is>
          <t>Src</t>
        </is>
      </c>
    </row>
    <row r="11">
      <c r="B11" s="11" t="inlineStr">
        <is>
          <t>Price — conservative</t>
        </is>
      </c>
      <c r="C11" s="12" t="n">
        <v>8</v>
      </c>
      <c r="D11" s="13" t="inlineStr">
        <is>
          <t>USD</t>
        </is>
      </c>
      <c r="E11" s="14" t="inlineStr">
        <is>
          <t>Voluntary spot / generic REDD+ avg has been ~$6–$9 in 2025–26.</t>
        </is>
      </c>
      <c r="F11" s="15" t="inlineStr">
        <is>
          <t>[S2]</t>
        </is>
      </c>
    </row>
    <row r="12">
      <c r="B12" s="6" t="inlineStr">
        <is>
          <t>Price — realistic (model base)</t>
        </is>
      </c>
      <c r="C12" s="16" t="n">
        <v>13</v>
      </c>
      <c r="D12" s="8" t="inlineStr">
        <is>
          <t>USD</t>
        </is>
      </c>
      <c r="E12" s="9" t="inlineStr">
        <is>
          <t>High-integrity Indian community credit w/ co-benefits. Above ~$9 REDD+ spot, below the older $20–$50 premiums that have since fallen.</t>
        </is>
      </c>
      <c r="F12" s="10" t="inlineStr">
        <is>
          <t>[S2][S3]</t>
        </is>
      </c>
    </row>
    <row r="13">
      <c r="B13" s="11" t="inlineStr">
        <is>
          <t>Price — premium / Article 6</t>
        </is>
      </c>
      <c r="C13" s="12" t="n">
        <v>20</v>
      </c>
      <c r="D13" s="13" t="inlineStr">
        <is>
          <t>USD</t>
        </is>
      </c>
      <c r="E13" s="14" t="inlineStr">
        <is>
          <t>Co-benefit / Article 6 upside case only. Not used in base projections.</t>
        </is>
      </c>
      <c r="F13" s="15" t="inlineStr">
        <is>
          <t>[S3]</t>
        </is>
      </c>
    </row>
    <row r="14">
      <c r="B14" s="11" t="inlineStr">
        <is>
          <t>Price — realistic (INR)</t>
        </is>
      </c>
      <c r="C14" s="17">
        <f>C12*C7</f>
        <v/>
      </c>
      <c r="D14" s="13" t="inlineStr">
        <is>
          <t>INR/tCO₂e</t>
        </is>
      </c>
      <c r="E14" s="14" t="inlineStr">
        <is>
          <t xml:space="preserve"> = realistic USD price × exchange rate.</t>
        </is>
      </c>
      <c r="F14" s="15" t="inlineStr"/>
    </row>
    <row r="16">
      <c r="B16" s="4" t="inlineStr">
        <is>
          <t>C.  CARBON GENERATION (representative project)</t>
        </is>
      </c>
      <c r="C16" s="4" t="n"/>
      <c r="D16" s="4" t="n"/>
      <c r="E16" s="4" t="n"/>
      <c r="F16" s="4" t="n"/>
    </row>
    <row r="17">
      <c r="B17" s="5" t="inlineStr">
        <is>
          <t>Assumption</t>
        </is>
      </c>
      <c r="C17" s="5" t="inlineStr">
        <is>
          <t>Value</t>
        </is>
      </c>
      <c r="D17" s="5" t="inlineStr">
        <is>
          <t>Unit</t>
        </is>
      </c>
      <c r="E17" s="5" t="inlineStr">
        <is>
          <t>Notes</t>
        </is>
      </c>
      <c r="F17" s="5" t="inlineStr">
        <is>
          <t>Src</t>
        </is>
      </c>
    </row>
    <row r="18">
      <c r="B18" s="11" t="inlineStr">
        <is>
          <t>Forest size — representative project</t>
        </is>
      </c>
      <c r="C18" s="18" t="n">
        <v>200</v>
      </c>
      <c r="D18" s="13" t="inlineStr">
        <is>
          <t>hectares</t>
        </is>
      </c>
      <c r="E18" s="14" t="inlineStr">
        <is>
          <t>Mid-size community forest used for unit economics.</t>
        </is>
      </c>
      <c r="F18" s="15" t="inlineStr"/>
    </row>
    <row r="19">
      <c r="B19" s="6" t="inlineStr">
        <is>
          <t>Sequestration rate</t>
        </is>
      </c>
      <c r="C19" s="19" t="n">
        <v>5</v>
      </c>
      <c r="D19" s="8" t="inlineStr">
        <is>
          <t>tCO₂e/ha/yr</t>
        </is>
      </c>
      <c r="E19" s="9" t="inlineStr">
        <is>
          <t>Conservative within IPCC tropical-forest range of 3–8; Indian dry-deciduous forests are at the lower end.</t>
        </is>
      </c>
      <c r="F19" s="10" t="inlineStr">
        <is>
          <t>[S4]</t>
        </is>
      </c>
    </row>
    <row r="20">
      <c r="B20" s="11" t="inlineStr">
        <is>
          <t>Gross credits / project / yr</t>
        </is>
      </c>
      <c r="C20" s="20">
        <f>C18*C19</f>
        <v/>
      </c>
      <c r="D20" s="13" t="inlineStr">
        <is>
          <t>tCO₂e</t>
        </is>
      </c>
      <c r="E20" s="14" t="inlineStr">
        <is>
          <t xml:space="preserve"> = area × sequestration rate.</t>
        </is>
      </c>
      <c r="F20" s="15" t="inlineStr"/>
    </row>
    <row r="21">
      <c r="B21" s="11" t="inlineStr">
        <is>
          <t>Permanence buffer (set-aside)</t>
        </is>
      </c>
      <c r="C21" s="21" t="n">
        <v>0.15</v>
      </c>
      <c r="D21" s="13" t="inlineStr">
        <is>
          <t>%</t>
        </is>
      </c>
      <c r="E21" s="14" t="inlineStr">
        <is>
          <t>Credits held back as insurance against reversal (fire/loss). Verra norm 10–20%.</t>
        </is>
      </c>
      <c r="F21" s="15" t="inlineStr">
        <is>
          <t>[S5]</t>
        </is>
      </c>
    </row>
    <row r="22">
      <c r="B22" s="11" t="inlineStr">
        <is>
          <t>Saleable credits / project / yr</t>
        </is>
      </c>
      <c r="C22" s="20">
        <f>C20*(1-C21)</f>
        <v/>
      </c>
      <c r="D22" s="13" t="inlineStr">
        <is>
          <t>tCO₂e</t>
        </is>
      </c>
      <c r="E22" s="14" t="inlineStr">
        <is>
          <t xml:space="preserve"> = gross credits × (1 − buffer).</t>
        </is>
      </c>
      <c r="F22" s="15" t="inlineStr"/>
    </row>
    <row r="24">
      <c r="B24" s="4" t="inlineStr">
        <is>
          <t>D.  VERIFICATION &amp; REGISTRY COSTS</t>
        </is>
      </c>
      <c r="C24" s="4" t="n"/>
      <c r="D24" s="4" t="n"/>
      <c r="E24" s="4" t="n"/>
      <c r="F24" s="4" t="n"/>
    </row>
    <row r="25">
      <c r="B25" s="5" t="inlineStr">
        <is>
          <t>Assumption</t>
        </is>
      </c>
      <c r="C25" s="5" t="inlineStr">
        <is>
          <t>Value</t>
        </is>
      </c>
      <c r="D25" s="5" t="inlineStr">
        <is>
          <t>Unit</t>
        </is>
      </c>
      <c r="E25" s="5" t="inlineStr">
        <is>
          <t>Notes</t>
        </is>
      </c>
      <c r="F25" s="5" t="inlineStr">
        <is>
          <t>Src</t>
        </is>
      </c>
    </row>
    <row r="26">
      <c r="B26" s="11" t="inlineStr">
        <is>
          <t>Verra registration fee (one-time)</t>
        </is>
      </c>
      <c r="C26" s="22" t="n">
        <v>5000</v>
      </c>
      <c r="D26" s="13" t="inlineStr">
        <is>
          <t>USD</t>
        </is>
      </c>
      <c r="E26" s="14" t="inlineStr">
        <is>
          <t>Published Verra registration fee.</t>
        </is>
      </c>
      <c r="F26" s="15" t="inlineStr">
        <is>
          <t>[S5]</t>
        </is>
      </c>
    </row>
    <row r="27">
      <c r="B27" s="11" t="inlineStr">
        <is>
          <t>Validation audit (one-time, aggregated)</t>
        </is>
      </c>
      <c r="C27" s="22" t="n">
        <v>12000</v>
      </c>
      <c r="D27" s="13" t="inlineStr">
        <is>
          <t>USD</t>
        </is>
      </c>
      <c r="E27" s="14" t="inlineStr">
        <is>
          <t>3rd-party validation, reduced from ~$25–$40K via digital MRV + grouped projects.</t>
        </is>
      </c>
      <c r="F27" s="15" t="inlineStr">
        <is>
          <t>[S6]</t>
        </is>
      </c>
    </row>
    <row r="28">
      <c r="B28" s="6" t="inlineStr">
        <is>
          <t>Annual verification — per project share</t>
        </is>
      </c>
      <c r="C28" s="23" t="n">
        <v>700</v>
      </c>
      <c r="D28" s="8" t="inlineStr">
        <is>
          <t>USD</t>
        </is>
      </c>
      <c r="E28" s="9" t="inlineStr">
        <is>
          <t>One auditor visit shared across a cluster of ~20 grouped projects (the platform's core efficiency lever). Validate with first audits.</t>
        </is>
      </c>
      <c r="F28" s="10" t="inlineStr">
        <is>
          <t>[S6]</t>
        </is>
      </c>
    </row>
    <row r="29">
      <c r="B29" s="11" t="inlineStr">
        <is>
          <t>Verra annual maintenance</t>
        </is>
      </c>
      <c r="C29" s="22" t="n">
        <v>500</v>
      </c>
      <c r="D29" s="13" t="inlineStr">
        <is>
          <t>USD</t>
        </is>
      </c>
      <c r="E29" s="14" t="inlineStr">
        <is>
          <t>Published Verra annual account fee.</t>
        </is>
      </c>
      <c r="F29" s="15" t="inlineStr">
        <is>
          <t>[S5]</t>
        </is>
      </c>
    </row>
    <row r="30">
      <c r="B30" s="11" t="inlineStr">
        <is>
          <t>Annual verification + registry pass-through (INR)</t>
        </is>
      </c>
      <c r="C30" s="17">
        <f>(C28+C29)*C7</f>
        <v/>
      </c>
      <c r="D30" s="13" t="inlineStr">
        <is>
          <t>INR/project/yr</t>
        </is>
      </c>
      <c r="E30" s="14" t="inlineStr">
        <is>
          <t xml:space="preserve"> = (annual verification + Verra fee) × FX. Deducted from gross before community payout.</t>
        </is>
      </c>
      <c r="F30" s="15" t="inlineStr"/>
    </row>
    <row r="31">
      <c r="B31" s="11" t="inlineStr">
        <is>
          <t>One-time field onboarding cost (Aranya-borne)</t>
        </is>
      </c>
      <c r="C31" s="24" t="n">
        <v>50000</v>
      </c>
      <c r="D31" s="13" t="inlineStr">
        <is>
          <t>INR</t>
        </is>
      </c>
      <c r="E31" s="14" t="inlineStr">
        <is>
          <t>Marginal cash cost per new project (field trip, data, consent). Team salaries are in OPEX.</t>
        </is>
      </c>
      <c r="F31" s="15" t="inlineStr"/>
    </row>
    <row r="32">
      <c r="B32" s="11" t="inlineStr">
        <is>
          <t>Reference: industry one-time setup cost</t>
        </is>
      </c>
      <c r="C32" s="24" t="n">
        <v>11300000</v>
      </c>
      <c r="D32" s="13" t="inlineStr">
        <is>
          <t>INR</t>
        </is>
      </c>
      <c r="E32" s="14" t="inlineStr">
        <is>
          <t>Solo origination for a small community forest historically ~₹1.1–1.2 Cr &amp; 12–18 months (the barrier Aranya removes).</t>
        </is>
      </c>
      <c r="F32" s="15" t="inlineStr">
        <is>
          <t>[S6]</t>
        </is>
      </c>
    </row>
    <row r="34">
      <c r="B34" s="4" t="inlineStr">
        <is>
          <t>E.  PLATFORM / REVENUE ASSUMPTIONS</t>
        </is>
      </c>
      <c r="C34" s="4" t="n"/>
      <c r="D34" s="4" t="n"/>
      <c r="E34" s="4" t="n"/>
      <c r="F34" s="4" t="n"/>
    </row>
    <row r="35">
      <c r="B35" s="5" t="inlineStr">
        <is>
          <t>Assumption</t>
        </is>
      </c>
      <c r="C35" s="5" t="inlineStr">
        <is>
          <t>Value</t>
        </is>
      </c>
      <c r="D35" s="5" t="inlineStr">
        <is>
          <t>Unit</t>
        </is>
      </c>
      <c r="E35" s="5" t="inlineStr">
        <is>
          <t>Notes</t>
        </is>
      </c>
      <c r="F35" s="5" t="inlineStr">
        <is>
          <t>Src</t>
        </is>
      </c>
    </row>
    <row r="36">
      <c r="B36" s="6" t="inlineStr">
        <is>
          <t>Aranya commission on credit sales</t>
        </is>
      </c>
      <c r="C36" s="25" t="n">
        <v>0.18</v>
      </c>
      <c r="D36" s="8" t="inlineStr">
        <is>
          <t>%</t>
        </is>
      </c>
      <c r="E36" s="9" t="inlineStr">
        <is>
          <t>Platform origination fee. Industry range 15–25%; 18% mid-point.</t>
        </is>
      </c>
      <c r="F36" s="10" t="inlineStr">
        <is>
          <t>[S3]</t>
        </is>
      </c>
    </row>
    <row r="37">
      <c r="B37" s="11" t="inlineStr">
        <is>
          <t>Monitoring subscription / project / yr</t>
        </is>
      </c>
      <c r="C37" s="24" t="n">
        <v>100000</v>
      </c>
      <c r="D37" s="13" t="inlineStr">
        <is>
          <t>INR</t>
        </is>
      </c>
      <c r="E37" s="14" t="inlineStr">
        <is>
          <t>Annual fee for satellite MRV dashboard + audit-ready report.</t>
        </is>
      </c>
      <c r="F37" s="15" t="inlineStr"/>
    </row>
    <row r="38">
      <c r="B38" s="11" t="inlineStr">
        <is>
          <t>NGO SaaS subscription</t>
        </is>
      </c>
      <c r="C38" s="24" t="n">
        <v>12000</v>
      </c>
      <c r="D38" s="13" t="inlineStr">
        <is>
          <t>INR/month</t>
        </is>
      </c>
      <c r="E38" s="14" t="inlineStr">
        <is>
          <t>Per NGO partner for data app + monitoring + document tools.</t>
        </is>
      </c>
      <c r="F38" s="15" t="inlineStr"/>
    </row>
    <row r="39">
      <c r="B39" s="11" t="inlineStr">
        <is>
          <t>Enterprise buyer subscription</t>
        </is>
      </c>
      <c r="C39" s="24" t="n">
        <v>200000</v>
      </c>
      <c r="D39" s="13" t="inlineStr">
        <is>
          <t>INR/year</t>
        </is>
      </c>
      <c r="E39" s="14" t="inlineStr">
        <is>
          <t>Priority credit access + ESG reporting for corporate buyers.</t>
        </is>
      </c>
      <c r="F39" s="15" t="inlineStr"/>
    </row>
    <row r="40">
      <c r="B40" s="11" t="inlineStr">
        <is>
          <t>Aranya servicing cost / selling project / yr</t>
        </is>
      </c>
      <c r="C40" s="24" t="n">
        <v>40000</v>
      </c>
      <c r="D40" s="13" t="inlineStr">
        <is>
          <t>INR</t>
        </is>
      </c>
      <c r="E40" s="14" t="inlineStr">
        <is>
          <t>Field servicing, support and per-project cloud/data allocation.</t>
        </is>
      </c>
      <c r="F40" s="15" t="inlineStr"/>
    </row>
    <row r="41">
      <c r="B41" s="11" t="inlineStr">
        <is>
          <t>Mature-project sell-through</t>
        </is>
      </c>
      <c r="C41" s="21" t="n">
        <v>0.9</v>
      </c>
      <c r="D41" s="13" t="inlineStr">
        <is>
          <t>%</t>
        </is>
      </c>
      <c r="E41" s="14" t="inlineStr">
        <is>
          <t>Share of saleable credits actually sold once a project is established.</t>
        </is>
      </c>
      <c r="F41" s="15" t="inlineStr"/>
    </row>
    <row r="44">
      <c r="B44" s="4" t="inlineStr">
        <is>
          <t>SOURCES &amp; REFERENCES</t>
        </is>
      </c>
      <c r="C44" s="4" t="n"/>
      <c r="D44" s="4" t="n"/>
      <c r="E44" s="4" t="n"/>
      <c r="F44" s="4" t="n"/>
    </row>
    <row r="45">
      <c r="B45" s="5" t="inlineStr">
        <is>
          <t>Ref</t>
        </is>
      </c>
      <c r="C45" s="5" t="inlineStr">
        <is>
          <t>Source (organisation, year)</t>
        </is>
      </c>
      <c r="D45" s="5" t="inlineStr"/>
      <c r="E45" s="5" t="inlineStr">
        <is>
          <t>URL</t>
        </is>
      </c>
      <c r="F45" s="5" t="inlineStr"/>
    </row>
    <row r="46">
      <c r="B46" s="26" t="inlineStr">
        <is>
          <t>[S1]</t>
        </is>
      </c>
      <c r="C46" s="27" t="inlineStr">
        <is>
          <t>USD/INR exchange rate — Wise / YCharts mid-market (15-Jun-2026): ~₹95.2 (1-yr ago ~₹85.6)</t>
        </is>
      </c>
      <c r="D46" s="28" t="n"/>
      <c r="E46" s="29" t="inlineStr">
        <is>
          <t>https://wise.com/in/currency-converter/usd-to-inr-rate/history</t>
        </is>
      </c>
      <c r="F46" s="30" t="n"/>
    </row>
    <row r="47">
      <c r="B47" s="26" t="inlineStr">
        <is>
          <t>[S2]</t>
        </is>
      </c>
      <c r="C47" s="27" t="inlineStr">
        <is>
          <t>Carbon Credit Prices Today 2026 — voluntary spot avg ~$6; REDD+ ~$9/tonne</t>
        </is>
      </c>
      <c r="D47" s="28" t="n"/>
      <c r="E47" s="29" t="inlineStr">
        <is>
          <t>https://carboncredits.com/carbon-prices-today/</t>
        </is>
      </c>
      <c r="F47" s="30" t="n"/>
    </row>
    <row r="48">
      <c r="B48" s="26" t="inlineStr">
        <is>
          <t>[S3]</t>
        </is>
      </c>
      <c r="C48" s="27" t="inlineStr">
        <is>
          <t>Abatable (2025) — new high-integrity REDD+ methodology floor price ≥ $15/tonne</t>
        </is>
      </c>
      <c r="D48" s="28" t="n"/>
      <c r="E48" s="29" t="inlineStr">
        <is>
          <t>https://abatable.com/blog/the-new-floor-price-for-redd-carbon-credits/</t>
        </is>
      </c>
      <c r="F48" s="30" t="n"/>
    </row>
    <row r="49">
      <c r="B49" s="26" t="inlineStr">
        <is>
          <t>[S4]</t>
        </is>
      </c>
      <c r="C49" s="27" t="inlineStr">
        <is>
          <t>IPCC 2006/2019 GHG Inventory Guidelines, Vol 4 (Forest Land) — tropical sequestration 3–8 tCO₂e/ha/yr</t>
        </is>
      </c>
      <c r="D49" s="28" t="n"/>
      <c r="E49" s="29" t="inlineStr">
        <is>
          <t>https://www.ipcc-nggip.iges.or.jp/public/2006gl/vol4.html</t>
        </is>
      </c>
      <c r="F49" s="30" t="n"/>
    </row>
    <row r="50">
      <c r="B50" s="26" t="inlineStr">
        <is>
          <t>[S5]</t>
        </is>
      </c>
      <c r="C50" s="27" t="inlineStr">
        <is>
          <t>Verra — Verified Carbon Standard: registration ~$5,000; annual ~$500; permanence buffer 10–20%</t>
        </is>
      </c>
      <c r="D50" s="28" t="n"/>
      <c r="E50" s="29" t="inlineStr">
        <is>
          <t>https://verra.org/programs/verified-carbon-standard/</t>
        </is>
      </c>
      <c r="F50" s="30" t="n"/>
    </row>
    <row r="51">
      <c r="B51" s="26" t="inlineStr">
        <is>
          <t>[S6]</t>
        </is>
      </c>
      <c r="C51" s="27" t="inlineStr">
        <is>
          <t>OPIS / Ecosystem Marketplace (2025) — REDD+ price benchmarks; origination &amp; verification cost norms</t>
        </is>
      </c>
      <c r="D51" s="28" t="n"/>
      <c r="E51" s="29" t="inlineStr">
        <is>
          <t>https://www.opis.com/blog/project-redd-struggles-amid-quality-push-future-of-voluntary-carbon-credits/</t>
        </is>
      </c>
      <c r="F51" s="30" t="n"/>
    </row>
    <row r="52">
      <c r="B52" s="26" t="inlineStr">
        <is>
          <t>[S7]</t>
        </is>
      </c>
      <c r="C52" s="27" t="inlineStr">
        <is>
          <t>Project documentation (details.txt) — business model, fee range 15–25%, community payout 70–82%</t>
        </is>
      </c>
      <c r="D52" s="28" t="n"/>
      <c r="E52" s="29" t="inlineStr">
        <is>
          <t>Aranya Carbon project files</t>
        </is>
      </c>
      <c r="F52" s="30" t="n"/>
    </row>
    <row r="54">
      <c r="B54" s="3" t="inlineStr">
        <is>
          <t>Note: items marked yellow are the assumptions most worth validating with the first 3–5 pilot projects and live FX/credit-price quotes before fundraising.</t>
        </is>
      </c>
    </row>
  </sheetData>
  <mergeCells count="7">
    <mergeCell ref="C46:D46"/>
    <mergeCell ref="C47:D47"/>
    <mergeCell ref="C51:D51"/>
    <mergeCell ref="C50:D50"/>
    <mergeCell ref="C52:D52"/>
    <mergeCell ref="C48:D48"/>
    <mergeCell ref="C49:D49"/>
  </mergeCells>
  <hyperlinks>
    <hyperlink xmlns:r="http://schemas.openxmlformats.org/officeDocument/2006/relationships" ref="E46" r:id="rId1"/>
    <hyperlink xmlns:r="http://schemas.openxmlformats.org/officeDocument/2006/relationships" ref="E47" r:id="rId2"/>
    <hyperlink xmlns:r="http://schemas.openxmlformats.org/officeDocument/2006/relationships" ref="E48" r:id="rId3"/>
    <hyperlink xmlns:r="http://schemas.openxmlformats.org/officeDocument/2006/relationships" ref="E49" r:id="rId4"/>
    <hyperlink xmlns:r="http://schemas.openxmlformats.org/officeDocument/2006/relationships" ref="E50" r:id="rId5"/>
    <hyperlink xmlns:r="http://schemas.openxmlformats.org/officeDocument/2006/relationships" ref="E5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8" customWidth="1" min="4" max="4"/>
    <col width="50" customWidth="1" min="5" max="5"/>
  </cols>
  <sheetData>
    <row r="1">
      <c r="B1" s="1" t="inlineStr">
        <is>
          <t>CAPEX &amp; OPEX — Aranya Carbon (Company Costs)</t>
        </is>
      </c>
    </row>
    <row r="2">
      <c r="B2" s="2" t="inlineStr">
        <is>
          <t>What it costs to build and run the company. All figures in INR. Per-project external verification is shown in Sheet 3 (pass-through).</t>
        </is>
      </c>
    </row>
    <row r="4">
      <c r="B4" s="4" t="inlineStr">
        <is>
          <t>CAPEX — ONE-TIME STARTUP COSTS</t>
        </is>
      </c>
      <c r="C4" s="4" t="n"/>
      <c r="D4" s="4" t="n"/>
      <c r="E4" s="4" t="n"/>
      <c r="F4" s="4" t="n"/>
    </row>
    <row r="5">
      <c r="B5" s="5" t="inlineStr">
        <is>
          <t>Item</t>
        </is>
      </c>
      <c r="C5" s="5" t="inlineStr">
        <is>
          <t>Cost (INR)</t>
        </is>
      </c>
      <c r="D5" s="5" t="inlineStr">
        <is>
          <t>Cost (USD)</t>
        </is>
      </c>
      <c r="E5" s="5" t="inlineStr">
        <is>
          <t>Notes</t>
        </is>
      </c>
    </row>
    <row r="6">
      <c r="B6" s="11" t="inlineStr">
        <is>
          <t>Company incorporation, trademark &amp; compliance</t>
        </is>
      </c>
      <c r="C6" s="31" t="n">
        <v>75000</v>
      </c>
      <c r="D6" s="32">
        <f>C6/'Assumptions &amp; Sources'!$C$7</f>
        <v/>
      </c>
      <c r="E6" s="14" t="inlineStr">
        <is>
          <t>One-time legal/registration setup.</t>
        </is>
      </c>
    </row>
    <row r="7">
      <c r="B7" s="11" t="inlineStr">
        <is>
          <t>Legal opinions — carbon rights / FRA / contracts</t>
        </is>
      </c>
      <c r="C7" s="31" t="n">
        <v>300000</v>
      </c>
      <c r="D7" s="32">
        <f>C7/'Assumptions &amp; Sources'!$C$7</f>
        <v/>
      </c>
      <c r="E7" s="14" t="inlineStr">
        <is>
          <t>Clarify community carbon ownership; buyer &amp; panchayat agreements.</t>
        </is>
      </c>
    </row>
    <row r="8">
      <c r="B8" s="11" t="inlineStr">
        <is>
          <t>Platform / MVP build (beyond hackathon prototype)</t>
        </is>
      </c>
      <c r="C8" s="31" t="n">
        <v>1000000</v>
      </c>
      <c r="D8" s="32">
        <f>C8/'Assumptions &amp; Sources'!$C$7</f>
        <v/>
      </c>
      <c r="E8" s="14" t="inlineStr">
        <is>
          <t>Production web app, marketplace, MRV dashboard.</t>
        </is>
      </c>
    </row>
    <row r="9">
      <c r="B9" s="11" t="inlineStr">
        <is>
          <t>Field equipment (tablets, GPS, basic drone)</t>
        </is>
      </c>
      <c r="C9" s="31" t="n">
        <v>250000</v>
      </c>
      <c r="D9" s="32">
        <f>C9/'Assumptions &amp; Sources'!$C$7</f>
        <v/>
      </c>
      <c r="E9" s="14" t="inlineStr">
        <is>
          <t>Boundary mapping &amp; inventory kit for field team.</t>
        </is>
      </c>
    </row>
    <row r="10">
      <c r="B10" s="11" t="inlineStr">
        <is>
          <t>Registry / developer account + first methodology</t>
        </is>
      </c>
      <c r="C10" s="31" t="n">
        <v>200000</v>
      </c>
      <c r="D10" s="32">
        <f>C10/'Assumptions &amp; Sources'!$C$7</f>
        <v/>
      </c>
      <c r="E10" s="14" t="inlineStr">
        <is>
          <t>Verra developer account setup &amp; methodology onboarding.</t>
        </is>
      </c>
    </row>
    <row r="11">
      <c r="B11" s="11" t="inlineStr">
        <is>
          <t>Branding, website &amp; launch marketing</t>
        </is>
      </c>
      <c r="C11" s="31" t="n">
        <v>150000</v>
      </c>
      <c r="D11" s="32">
        <f>C11/'Assumptions &amp; Sources'!$C$7</f>
        <v/>
      </c>
      <c r="E11" s="14" t="inlineStr">
        <is>
          <t>Identity, site, pilot outreach collateral.</t>
        </is>
      </c>
    </row>
    <row r="12">
      <c r="B12" s="11" t="inlineStr">
        <is>
          <t>Office setup &amp; deposits</t>
        </is>
      </c>
      <c r="C12" s="31" t="n">
        <v>200000</v>
      </c>
      <c r="D12" s="32">
        <f>C12/'Assumptions &amp; Sources'!$C$7</f>
        <v/>
      </c>
      <c r="E12" s="14" t="inlineStr">
        <is>
          <t>Co-working deposit, furniture, basic infra.</t>
        </is>
      </c>
    </row>
    <row r="13">
      <c r="B13" s="11" t="inlineStr">
        <is>
          <t>Contingency (10%)</t>
        </is>
      </c>
      <c r="C13" s="33">
        <f>SUM(C6:C12)*0.1</f>
        <v/>
      </c>
      <c r="D13" s="32">
        <f>C13/'Assumptions &amp; Sources'!$C$7</f>
        <v/>
      </c>
      <c r="E13" s="34" t="inlineStr">
        <is>
          <t>Standard buffer on a one-time budget.</t>
        </is>
      </c>
    </row>
    <row r="14">
      <c r="B14" s="35" t="inlineStr">
        <is>
          <t>TOTAL CAPEX (one-time)</t>
        </is>
      </c>
      <c r="C14" s="36">
        <f>SUM(C6:C12)+C13</f>
        <v/>
      </c>
      <c r="D14" s="37">
        <f>C14/'Assumptions &amp; Sources'!$C$7</f>
        <v/>
      </c>
      <c r="E14" s="38" t="n"/>
    </row>
    <row r="16">
      <c r="B16" s="4" t="inlineStr">
        <is>
          <t>OPEX — MONTHLY OPERATING COSTS (Year 1 baseline)</t>
        </is>
      </c>
      <c r="C16" s="4" t="n"/>
      <c r="D16" s="4" t="n"/>
      <c r="E16" s="4" t="n"/>
      <c r="F16" s="4" t="n"/>
    </row>
    <row r="17">
      <c r="B17" s="5" t="inlineStr">
        <is>
          <t>Item</t>
        </is>
      </c>
      <c r="C17" s="5" t="inlineStr">
        <is>
          <t>Monthly (INR)</t>
        </is>
      </c>
      <c r="D17" s="5" t="inlineStr">
        <is>
          <t>Annual (INR)</t>
        </is>
      </c>
      <c r="E17" s="5" t="inlineStr">
        <is>
          <t>Notes</t>
        </is>
      </c>
    </row>
    <row r="18">
      <c r="B18" s="11" t="inlineStr">
        <is>
          <t>Core team salaries (3 × tech/ops, lean)</t>
        </is>
      </c>
      <c r="C18" s="31" t="n">
        <v>135000</v>
      </c>
      <c r="D18" s="39">
        <f>C18*12</f>
        <v/>
      </c>
      <c r="E18" s="14" t="inlineStr">
        <is>
          <t>Founders on minimal pre-seed stipends; lean build team.</t>
        </is>
      </c>
    </row>
    <row r="19">
      <c r="B19" s="11" t="inlineStr">
        <is>
          <t>Field officers (2 × community onboarding)</t>
        </is>
      </c>
      <c r="C19" s="31" t="n">
        <v>50000</v>
      </c>
      <c r="D19" s="39">
        <f>C19*12</f>
        <v/>
      </c>
      <c r="E19" s="14" t="inlineStr">
        <is>
          <t>On-ground panchayat onboarding &amp; data collection.</t>
        </is>
      </c>
    </row>
    <row r="20">
      <c r="B20" s="11" t="inlineStr">
        <is>
          <t>Cloud, data &amp; APIs (hosting, GEE, Mapbox, AI)</t>
        </is>
      </c>
      <c r="C20" s="31" t="n">
        <v>25000</v>
      </c>
      <c r="D20" s="39">
        <f>C20*12</f>
        <v/>
      </c>
      <c r="E20" s="14" t="inlineStr">
        <is>
          <t>Vercel/Neon hosting, Earth Engine, maps, Gemini, payments.</t>
        </is>
      </c>
    </row>
    <row r="21">
      <c r="B21" s="11" t="inlineStr">
        <is>
          <t>Field operations (travel, fuel, per-diem)</t>
        </is>
      </c>
      <c r="C21" s="31" t="n">
        <v>40000</v>
      </c>
      <c r="D21" s="39">
        <f>C21*12</f>
        <v/>
      </c>
      <c r="E21" s="14" t="inlineStr">
        <is>
          <t>Site visits across pilot districts.</t>
        </is>
      </c>
    </row>
    <row r="22">
      <c r="B22" s="11" t="inlineStr">
        <is>
          <t>Sales &amp; marketing</t>
        </is>
      </c>
      <c r="C22" s="31" t="n">
        <v>20000</v>
      </c>
      <c r="D22" s="39">
        <f>C22*12</f>
        <v/>
      </c>
      <c r="E22" s="14" t="inlineStr">
        <is>
          <t>Buyer outreach, NGO partnerships, content.</t>
        </is>
      </c>
    </row>
    <row r="23">
      <c r="B23" s="11" t="inlineStr">
        <is>
          <t>Office / co-working / utilities</t>
        </is>
      </c>
      <c r="C23" s="31" t="n">
        <v>20000</v>
      </c>
      <c r="D23" s="39">
        <f>C23*12</f>
        <v/>
      </c>
      <c r="E23" s="14" t="inlineStr">
        <is>
          <t>Workspace, internet, electricity.</t>
        </is>
      </c>
    </row>
    <row r="24">
      <c r="B24" s="11" t="inlineStr">
        <is>
          <t>Legal &amp; accounting retainer</t>
        </is>
      </c>
      <c r="C24" s="31" t="n">
        <v>15000</v>
      </c>
      <c r="D24" s="39">
        <f>C24*12</f>
        <v/>
      </c>
      <c r="E24" s="14" t="inlineStr">
        <is>
          <t>Ongoing compliance, contracts, bookkeeping.</t>
        </is>
      </c>
    </row>
    <row r="25">
      <c r="B25" s="11" t="inlineStr">
        <is>
          <t>Software, tools &amp; misc subscriptions</t>
        </is>
      </c>
      <c r="C25" s="31" t="n">
        <v>10000</v>
      </c>
      <c r="D25" s="39">
        <f>C25*12</f>
        <v/>
      </c>
      <c r="E25" s="14" t="inlineStr">
        <is>
          <t>Dev tools, SaaS, communications.</t>
        </is>
      </c>
    </row>
    <row r="26">
      <c r="B26" s="11" t="inlineStr">
        <is>
          <t>Contingency / buffer</t>
        </is>
      </c>
      <c r="C26" s="31" t="n">
        <v>15000</v>
      </c>
      <c r="D26" s="39">
        <f>C26*12</f>
        <v/>
      </c>
      <c r="E26" s="14" t="inlineStr">
        <is>
          <t>Unbudgeted month-to-month costs.</t>
        </is>
      </c>
    </row>
    <row r="27">
      <c r="B27" s="35" t="inlineStr">
        <is>
          <t>TOTAL OPEX</t>
        </is>
      </c>
      <c r="C27" s="36">
        <f>SUM(C18:C26)</f>
        <v/>
      </c>
      <c r="D27" s="36">
        <f>SUM(D18:D26)</f>
        <v/>
      </c>
      <c r="E27" s="40" t="inlineStr">
        <is>
          <t>Monthly burn × 12 = Year-1 annual OPEX.</t>
        </is>
      </c>
    </row>
    <row r="29">
      <c r="B29" s="41" t="inlineStr">
        <is>
          <t>Year-1 cash requirement (CAPEX + annual OPEX):</t>
        </is>
      </c>
      <c r="C29" s="42">
        <f>'CAPEX &amp; OPEX'!$C$14+'CAPEX &amp; OPEX'!$D$27</f>
        <v/>
      </c>
      <c r="E29" s="43" t="inlineStr">
        <is>
          <t>Indicative pre-seed ask (before revenue ramp). OPEX grows with headcount in Y2–Y3 (see Sheet 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B1" s="1" t="inlineStr">
        <is>
          <t>REVENUE MODEL &amp; PROJECTIONS</t>
        </is>
      </c>
    </row>
    <row r="2">
      <c r="B2" s="2" t="inlineStr">
        <is>
          <t>Realistic base case. Four revenue streams, per-project unit economics, and a conservative 3-year ramp.</t>
        </is>
      </c>
    </row>
    <row r="4">
      <c r="B4" s="4" t="inlineStr">
        <is>
          <t>REVENUE STREAMS</t>
        </is>
      </c>
      <c r="C4" s="4" t="n"/>
      <c r="D4" s="4" t="n"/>
      <c r="E4" s="4" t="n"/>
      <c r="F4" s="4" t="n"/>
    </row>
    <row r="5">
      <c r="B5" s="5" t="inlineStr">
        <is>
          <t>Stream</t>
        </is>
      </c>
      <c r="C5" s="5" t="inlineStr">
        <is>
          <t>Basis</t>
        </is>
      </c>
      <c r="D5" s="5" t="inlineStr">
        <is>
          <t>Rate / Fee</t>
        </is>
      </c>
      <c r="E5" s="5" t="inlineStr">
        <is>
          <t>Notes</t>
        </is>
      </c>
    </row>
    <row r="6">
      <c r="B6" s="44" t="inlineStr">
        <is>
          <t>1. Credit sale commission (primary)</t>
        </is>
      </c>
      <c r="C6" s="34" t="inlineStr">
        <is>
          <t>% of gross credit sales</t>
        </is>
      </c>
      <c r="D6" s="45">
        <f>'Assumptions &amp; Sources'!$C$36</f>
        <v/>
      </c>
      <c r="E6" s="14" t="inlineStr">
        <is>
          <t>Earned on every tonne sold via the marketplace.</t>
        </is>
      </c>
    </row>
    <row r="7">
      <c r="B7" s="44" t="inlineStr">
        <is>
          <t>2. Monitoring subscription</t>
        </is>
      </c>
      <c r="C7" s="34" t="inlineStr">
        <is>
          <t>Per project / year</t>
        </is>
      </c>
      <c r="D7" s="33">
        <f>'Assumptions &amp; Sources'!$C$37</f>
        <v/>
      </c>
      <c r="E7" s="14" t="inlineStr">
        <is>
          <t>Satellite MRV dashboard + annual report.</t>
        </is>
      </c>
    </row>
    <row r="8">
      <c r="B8" s="44" t="inlineStr">
        <is>
          <t>3. NGO SaaS subscription</t>
        </is>
      </c>
      <c r="C8" s="34" t="inlineStr">
        <is>
          <t>Per NGO / month</t>
        </is>
      </c>
      <c r="D8" s="33">
        <f>'Assumptions &amp; Sources'!$C$38</f>
        <v/>
      </c>
      <c r="E8" s="14" t="inlineStr">
        <is>
          <t>Platform access for partner NGOs.</t>
        </is>
      </c>
    </row>
    <row r="9">
      <c r="B9" s="44" t="inlineStr">
        <is>
          <t>4. Enterprise buyer subscription</t>
        </is>
      </c>
      <c r="C9" s="34" t="inlineStr">
        <is>
          <t>Per buyer / year</t>
        </is>
      </c>
      <c r="D9" s="33">
        <f>'Assumptions &amp; Sources'!$C$39</f>
        <v/>
      </c>
      <c r="E9" s="14" t="inlineStr">
        <is>
          <t>Priority access + ESG reporting.</t>
        </is>
      </c>
    </row>
    <row r="11">
      <c r="B11" s="4" t="inlineStr">
        <is>
          <t>UNIT ECONOMICS — PER PROJECT (mature, annual)</t>
        </is>
      </c>
      <c r="C11" s="4" t="n"/>
      <c r="D11" s="4" t="n"/>
      <c r="E11" s="4" t="n"/>
      <c r="F11" s="4" t="n"/>
    </row>
    <row r="12">
      <c r="B12" s="5" t="inlineStr">
        <is>
          <t>Line item</t>
        </is>
      </c>
      <c r="C12" s="5" t="inlineStr">
        <is>
          <t>Value</t>
        </is>
      </c>
      <c r="D12" s="5" t="inlineStr">
        <is>
          <t>% of gross</t>
        </is>
      </c>
      <c r="E12" s="5" t="inlineStr">
        <is>
          <t>Notes</t>
        </is>
      </c>
    </row>
    <row r="13">
      <c r="B13" s="11" t="inlineStr">
        <is>
          <t>Saleable credits / yr</t>
        </is>
      </c>
      <c r="C13" s="46">
        <f>'Assumptions &amp; Sources'!$C$22</f>
        <v/>
      </c>
      <c r="D13" s="30" t="n"/>
      <c r="E13" s="14" t="inlineStr">
        <is>
          <t>From assumptions (after buffer).</t>
        </is>
      </c>
    </row>
    <row r="14">
      <c r="B14" s="11" t="inlineStr">
        <is>
          <t>Credits sold (mature sell-through)</t>
        </is>
      </c>
      <c r="C14" s="46">
        <f>C13*'Assumptions &amp; Sources'!$C$41</f>
        <v/>
      </c>
      <c r="D14" s="30" t="n"/>
      <c r="E14" s="14" t="inlineStr">
        <is>
          <t xml:space="preserve"> = saleable × sell-through.</t>
        </is>
      </c>
    </row>
    <row r="15">
      <c r="B15" s="11" t="inlineStr">
        <is>
          <t>Price per credit</t>
        </is>
      </c>
      <c r="C15" s="47">
        <f>'Assumptions &amp; Sources'!$C$14</f>
        <v/>
      </c>
      <c r="D15" s="30" t="n"/>
      <c r="E15" s="14" t="inlineStr">
        <is>
          <t>Realistic price × FX.</t>
        </is>
      </c>
    </row>
    <row r="16">
      <c r="B16" s="44" t="inlineStr">
        <is>
          <t>Gross credit sales</t>
        </is>
      </c>
      <c r="C16" s="17">
        <f>C14*C15</f>
        <v/>
      </c>
      <c r="D16" s="30" t="n"/>
      <c r="E16" s="14" t="inlineStr">
        <is>
          <t xml:space="preserve"> = credits sold × price.</t>
        </is>
      </c>
    </row>
    <row r="17">
      <c r="B17" s="11" t="inlineStr">
        <is>
          <t>Aranya commission (18%)</t>
        </is>
      </c>
      <c r="C17" s="47">
        <f>C16*'Assumptions &amp; Sources'!$C$36</f>
        <v/>
      </c>
      <c r="D17" s="48">
        <f>C17/$C$16</f>
        <v/>
      </c>
      <c r="E17" s="14" t="inlineStr">
        <is>
          <t>Primary revenue.</t>
        </is>
      </c>
    </row>
    <row r="18">
      <c r="B18" s="11" t="inlineStr">
        <is>
          <t>Monitoring subscription</t>
        </is>
      </c>
      <c r="C18" s="47">
        <f>'Assumptions &amp; Sources'!$C$37</f>
        <v/>
      </c>
      <c r="D18" s="48">
        <f>C18/$C$16</f>
        <v/>
      </c>
      <c r="E18" s="14" t="inlineStr">
        <is>
          <t>Flat annual fee.</t>
        </is>
      </c>
    </row>
    <row r="19">
      <c r="B19" s="44" t="inlineStr">
        <is>
          <t xml:space="preserve"> = Aranya revenue / project</t>
        </is>
      </c>
      <c r="C19" s="17">
        <f>C17+C18</f>
        <v/>
      </c>
      <c r="D19" s="48">
        <f>C19/$C$16</f>
        <v/>
      </c>
      <c r="E19" s="14" t="inlineStr">
        <is>
          <t>Commission + monitoring.</t>
        </is>
      </c>
    </row>
    <row r="20">
      <c r="B20" s="11" t="inlineStr">
        <is>
          <t>Less: verification + registry (pass-through)</t>
        </is>
      </c>
      <c r="C20" s="47">
        <f>-'Assumptions &amp; Sources'!$C$30</f>
        <v/>
      </c>
      <c r="D20" s="48">
        <f>C20/$C$16</f>
        <v/>
      </c>
      <c r="E20" s="14" t="inlineStr">
        <is>
          <t>Paid to auditor/Verra; not Aranya margin.</t>
        </is>
      </c>
    </row>
    <row r="21">
      <c r="B21" s="11" t="inlineStr">
        <is>
          <t>Less: Aranya commission</t>
        </is>
      </c>
      <c r="C21" s="47">
        <f>-C17</f>
        <v/>
      </c>
      <c r="D21" s="48">
        <f>C21/$C$16</f>
        <v/>
      </c>
      <c r="E21" s="14" t="inlineStr">
        <is>
          <t>Deducted from gross.</t>
        </is>
      </c>
    </row>
    <row r="22">
      <c r="B22" s="44" t="inlineStr">
        <is>
          <t xml:space="preserve"> = Community payout</t>
        </is>
      </c>
      <c r="C22" s="17">
        <f>C16+C20+C21</f>
        <v/>
      </c>
      <c r="D22" s="48">
        <f>C22/$C$16</f>
        <v/>
      </c>
      <c r="E22" s="14" t="inlineStr">
        <is>
          <t>Residual to the panchayat (target 70–82% at scale).</t>
        </is>
      </c>
    </row>
    <row r="23">
      <c r="B23" s="11" t="inlineStr">
        <is>
          <t>Aranya servicing cost / project</t>
        </is>
      </c>
      <c r="C23" s="47">
        <f>-'Assumptions &amp; Sources'!$C$40</f>
        <v/>
      </c>
      <c r="D23" s="48">
        <f>C23/$C$16</f>
        <v/>
      </c>
      <c r="E23" s="14" t="inlineStr">
        <is>
          <t>Field servicing + cloud allocation.</t>
        </is>
      </c>
    </row>
    <row r="24">
      <c r="B24" s="44" t="inlineStr">
        <is>
          <t xml:space="preserve"> = Aranya contribution / project / yr</t>
        </is>
      </c>
      <c r="C24" s="17">
        <f>C19+C23</f>
        <v/>
      </c>
      <c r="D24" s="48">
        <f>C24/$C$16</f>
        <v/>
      </c>
      <c r="E24" s="14" t="inlineStr">
        <is>
          <t>Revenue minus direct servicing cost.</t>
        </is>
      </c>
    </row>
    <row r="26">
      <c r="B26" s="4" t="inlineStr">
        <is>
          <t>3-YEAR PROJECTION (REALISTIC RAMP)</t>
        </is>
      </c>
      <c r="C26" s="4" t="n"/>
      <c r="D26" s="4" t="n"/>
      <c r="E26" s="4" t="n"/>
      <c r="F26" s="4" t="n"/>
    </row>
    <row r="27">
      <c r="B27" s="5" t="inlineStr">
        <is>
          <t>Metric</t>
        </is>
      </c>
      <c r="C27" s="5" t="inlineStr">
        <is>
          <t>Year 1</t>
        </is>
      </c>
      <c r="D27" s="5" t="inlineStr">
        <is>
          <t>Year 2</t>
        </is>
      </c>
      <c r="E27" s="5" t="inlineStr">
        <is>
          <t>Year 3</t>
        </is>
      </c>
      <c r="F27" s="5" t="inlineStr">
        <is>
          <t>Notes / assumption</t>
        </is>
      </c>
    </row>
    <row r="28">
      <c r="B28" s="11" t="inlineStr">
        <is>
          <t>Projects onboarded (cumulative)</t>
        </is>
      </c>
      <c r="C28" s="49" t="n">
        <v>8</v>
      </c>
      <c r="D28" s="49" t="n">
        <v>20</v>
      </c>
      <c r="E28" s="49" t="n">
        <v>45</v>
      </c>
      <c r="F28" s="14" t="inlineStr">
        <is>
          <t>Conservative ramp; ~1 onboarding/month rising to ~2/month.</t>
        </is>
      </c>
    </row>
    <row r="29">
      <c r="B29" s="11" t="inlineStr">
        <is>
          <t>Credit-generating projects (selling)</t>
        </is>
      </c>
      <c r="C29" s="49" t="n">
        <v>2</v>
      </c>
      <c r="D29" s="49" t="n">
        <v>10</v>
      </c>
      <c r="E29" s="49" t="n">
        <v>32</v>
      </c>
      <c r="F29" s="14" t="inlineStr">
        <is>
          <t>Lags onboarding — registration/issuance takes ~9–18 months.</t>
        </is>
      </c>
    </row>
    <row r="30">
      <c r="B30" s="11" t="inlineStr">
        <is>
          <t>Sell-through this year</t>
        </is>
      </c>
      <c r="C30" s="50" t="n">
        <v>0.4</v>
      </c>
      <c r="D30" s="50" t="n">
        <v>0.75</v>
      </c>
      <c r="E30" s="50" t="n">
        <v>0.85</v>
      </c>
      <c r="F30" s="14" t="inlineStr">
        <is>
          <t>Share of saleable credits sold (ramps as buyer base matures).</t>
        </is>
      </c>
    </row>
    <row r="31">
      <c r="B31" s="11" t="inlineStr">
        <is>
          <t>NGO SaaS partners</t>
        </is>
      </c>
      <c r="C31" s="49" t="n">
        <v>2</v>
      </c>
      <c r="D31" s="49" t="n">
        <v>5</v>
      </c>
      <c r="E31" s="49" t="n">
        <v>14</v>
      </c>
      <c r="F31" s="14" t="inlineStr">
        <is>
          <t>Partner NGOs paying monthly SaaS.</t>
        </is>
      </c>
    </row>
    <row r="32">
      <c r="B32" s="11" t="inlineStr">
        <is>
          <t>NGO SaaS months billed</t>
        </is>
      </c>
      <c r="C32" s="49" t="n">
        <v>6</v>
      </c>
      <c r="D32" s="49" t="n">
        <v>12</v>
      </c>
      <c r="E32" s="49" t="n">
        <v>12</v>
      </c>
      <c r="F32" s="14" t="inlineStr">
        <is>
          <t>Part-year in Y1.</t>
        </is>
      </c>
    </row>
    <row r="33">
      <c r="B33" s="11" t="inlineStr">
        <is>
          <t>Enterprise buyer subscribers</t>
        </is>
      </c>
      <c r="C33" s="49" t="n">
        <v>1</v>
      </c>
      <c r="D33" s="49" t="n">
        <v>3</v>
      </c>
      <c r="E33" s="49" t="n">
        <v>7</v>
      </c>
      <c r="F33" s="14" t="inlineStr">
        <is>
          <t>Corporates on paid subscription.</t>
        </is>
      </c>
    </row>
    <row r="34">
      <c r="B34" s="11" t="inlineStr">
        <is>
          <t>Operating expenses (OPEX)</t>
        </is>
      </c>
      <c r="C34" s="51">
        <f>'CAPEX &amp; OPEX'!$D$27</f>
        <v/>
      </c>
      <c r="D34" s="51" t="n">
        <v>5500000</v>
      </c>
      <c r="E34" s="51" t="n">
        <v>8500000</v>
      </c>
      <c r="F34" s="14" t="inlineStr">
        <is>
          <t>Y1 from Sheet 2; grows with headcount in Y2–Y3.</t>
        </is>
      </c>
    </row>
    <row r="36">
      <c r="B36" s="11" t="inlineStr">
        <is>
          <t>Credit commission revenue</t>
        </is>
      </c>
      <c r="C36" s="47">
        <f>C29*'Assumptions &amp; Sources'!$C$22*C30*'Assumptions &amp; Sources'!$C$14*'Assumptions &amp; Sources'!$C$36</f>
        <v/>
      </c>
      <c r="D36" s="47">
        <f>D29*'Assumptions &amp; Sources'!$C$22*D30*'Assumptions &amp; Sources'!$C$14*'Assumptions &amp; Sources'!$C$36</f>
        <v/>
      </c>
      <c r="E36" s="47">
        <f>E29*'Assumptions &amp; Sources'!$C$22*E30*'Assumptions &amp; Sources'!$C$14*'Assumptions &amp; Sources'!$C$36</f>
        <v/>
      </c>
      <c r="F36" s="14" t="inlineStr">
        <is>
          <t xml:space="preserve"> = selling × saleable × sell-through × price × 18%.</t>
        </is>
      </c>
    </row>
    <row r="37">
      <c r="B37" s="11" t="inlineStr">
        <is>
          <t>Monitoring subscription revenue</t>
        </is>
      </c>
      <c r="C37" s="47">
        <f>C29*'Assumptions &amp; Sources'!$C$37</f>
        <v/>
      </c>
      <c r="D37" s="47">
        <f>D29*'Assumptions &amp; Sources'!$C$37</f>
        <v/>
      </c>
      <c r="E37" s="47">
        <f>E29*'Assumptions &amp; Sources'!$C$37</f>
        <v/>
      </c>
      <c r="F37" s="14" t="inlineStr">
        <is>
          <t xml:space="preserve"> = selling projects × annual fee.</t>
        </is>
      </c>
    </row>
    <row r="38">
      <c r="B38" s="11" t="inlineStr">
        <is>
          <t>NGO SaaS revenue</t>
        </is>
      </c>
      <c r="C38" s="47">
        <f>C31*'Assumptions &amp; Sources'!$C$38*C32</f>
        <v/>
      </c>
      <c r="D38" s="47">
        <f>D31*'Assumptions &amp; Sources'!$C$38*D32</f>
        <v/>
      </c>
      <c r="E38" s="47">
        <f>E31*'Assumptions &amp; Sources'!$C$38*E32</f>
        <v/>
      </c>
      <c r="F38" s="14" t="inlineStr">
        <is>
          <t xml:space="preserve"> = partners × monthly fee × months.</t>
        </is>
      </c>
    </row>
    <row r="39">
      <c r="B39" s="11" t="inlineStr">
        <is>
          <t>Enterprise buyer revenue</t>
        </is>
      </c>
      <c r="C39" s="47">
        <f>C33*'Assumptions &amp; Sources'!$C$39</f>
        <v/>
      </c>
      <c r="D39" s="47">
        <f>D33*'Assumptions &amp; Sources'!$C$39</f>
        <v/>
      </c>
      <c r="E39" s="47">
        <f>E33*'Assumptions &amp; Sources'!$C$39</f>
        <v/>
      </c>
      <c r="F39" s="14" t="inlineStr">
        <is>
          <t xml:space="preserve"> = subscribers × annual fee.</t>
        </is>
      </c>
    </row>
    <row r="40">
      <c r="B40" s="52" t="inlineStr">
        <is>
          <t>TOTAL REVENUE</t>
        </is>
      </c>
      <c r="C40" s="53">
        <f>SUM(C36,C37,C38,C39)</f>
        <v/>
      </c>
      <c r="D40" s="53">
        <f>SUM(D36,D37,D38,D39)</f>
        <v/>
      </c>
      <c r="E40" s="53">
        <f>SUM(E36,E37,E38,E39)</f>
        <v/>
      </c>
      <c r="F40" s="14" t="inlineStr">
        <is>
          <t>Sum of the four streams.</t>
        </is>
      </c>
    </row>
    <row r="42">
      <c r="B42" s="11" t="inlineStr">
        <is>
          <t>Onboarding cost (new projects)</t>
        </is>
      </c>
      <c r="C42" s="47">
        <f>C28*'Assumptions &amp; Sources'!$C$31</f>
        <v/>
      </c>
      <c r="D42" s="47">
        <f>(D28-C28)*'Assumptions &amp; Sources'!$C$31</f>
        <v/>
      </c>
      <c r="E42" s="47">
        <f>(E28-D28)*'Assumptions &amp; Sources'!$C$31</f>
        <v/>
      </c>
      <c r="F42" s="14" t="inlineStr">
        <is>
          <t xml:space="preserve"> = new projects this year × onboarding cost.</t>
        </is>
      </c>
    </row>
    <row r="43">
      <c r="B43" s="11" t="inlineStr">
        <is>
          <t>Project servicing cost</t>
        </is>
      </c>
      <c r="C43" s="47">
        <f>C29*'Assumptions &amp; Sources'!$C$40</f>
        <v/>
      </c>
      <c r="D43" s="47">
        <f>D29*'Assumptions &amp; Sources'!$C$40</f>
        <v/>
      </c>
      <c r="E43" s="47">
        <f>E29*'Assumptions &amp; Sources'!$C$40</f>
        <v/>
      </c>
      <c r="F43" s="14" t="inlineStr">
        <is>
          <t xml:space="preserve"> = selling projects × servicing cost.</t>
        </is>
      </c>
    </row>
    <row r="44">
      <c r="B44" s="11" t="inlineStr">
        <is>
          <t>Operating expenses (OPEX)</t>
        </is>
      </c>
      <c r="C44" s="47">
        <f>C34</f>
        <v/>
      </c>
      <c r="D44" s="47">
        <f>D34</f>
        <v/>
      </c>
      <c r="E44" s="47">
        <f>E34</f>
        <v/>
      </c>
      <c r="F44" s="14" t="inlineStr">
        <is>
          <t>From operating inputs above.</t>
        </is>
      </c>
    </row>
    <row r="45">
      <c r="B45" s="11" t="inlineStr">
        <is>
          <t>CAPEX (one-time, Year 1)</t>
        </is>
      </c>
      <c r="C45" s="47">
        <f>'CAPEX &amp; OPEX'!$C$14</f>
        <v/>
      </c>
      <c r="D45" s="47" t="n">
        <v>0</v>
      </c>
      <c r="E45" s="47" t="n">
        <v>0</v>
      </c>
      <c r="F45" s="14" t="inlineStr">
        <is>
          <t>One-time company build (Sheet 2).</t>
        </is>
      </c>
    </row>
    <row r="46">
      <c r="B46" s="52" t="inlineStr">
        <is>
          <t>TOTAL COSTS</t>
        </is>
      </c>
      <c r="C46" s="53">
        <f>SUM(C42,C43,C44,C45)</f>
        <v/>
      </c>
      <c r="D46" s="53">
        <f>SUM(D42,D43,D44,D45)</f>
        <v/>
      </c>
      <c r="E46" s="53">
        <f>SUM(E42,E43,E44,E45)</f>
        <v/>
      </c>
      <c r="F46" s="14" t="inlineStr">
        <is>
          <t>Onboarding + servicing + OPEX + CAPEX.</t>
        </is>
      </c>
    </row>
    <row r="48">
      <c r="B48" s="54" t="inlineStr">
        <is>
          <t>NET PROFIT / (LOSS)</t>
        </is>
      </c>
      <c r="C48" s="55">
        <f>C40-C46</f>
        <v/>
      </c>
      <c r="D48" s="55">
        <f>D40-D46</f>
        <v/>
      </c>
      <c r="E48" s="55">
        <f>E40-E46</f>
        <v/>
      </c>
      <c r="F48" s="14" t="inlineStr">
        <is>
          <t>Realistic: invest in Y1–Y2, approach breakeven by Y3.</t>
        </is>
      </c>
    </row>
    <row r="49">
      <c r="B49" s="11" t="inlineStr">
        <is>
          <t>Cumulative net position</t>
        </is>
      </c>
      <c r="C49" s="47">
        <f>C48</f>
        <v/>
      </c>
      <c r="D49" s="47">
        <f>C48+D48</f>
        <v/>
      </c>
      <c r="E49" s="47">
        <f>C48+D48+E48</f>
        <v/>
      </c>
      <c r="F49" s="14" t="inlineStr">
        <is>
          <t>Running total — indicates total capital needed before breakeven.</t>
        </is>
      </c>
    </row>
    <row r="51" ht="42" customHeight="1">
      <c r="B51" s="56" t="inlineStr">
        <is>
          <t>Takeaway: a deliberately conservative model — below-market credit price, conservative sequestration, slow issuance ramp. The platform invests through Years 1–2 and approaches breakeven in Year 3, consistent with a ~30-month path to Series A.</t>
        </is>
      </c>
    </row>
  </sheetData>
  <mergeCells count="1">
    <mergeCell ref="B51:F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2026-06-16T18:22:20Z</dcterms:created>
  <dcterms:modified xmlns:dcterms="http://purl.org/dc/terms/" xmlns:xsi="http://www.w3.org/2001/XMLSchema-instance" xsi:type="dcterms:W3CDTF">2026-06-16T18:22:20Z</dcterms:modified>
</cp:coreProperties>
</file>